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F911E3B5-BC50-446E-9DBE-8CB87C7296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25" i="1" l="1"/>
  <c r="M25" i="1"/>
  <c r="B25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20" i="1" l="1"/>
  <c r="Q121" i="1" s="1"/>
</calcChain>
</file>

<file path=xl/sharedStrings.xml><?xml version="1.0" encoding="utf-8"?>
<sst xmlns="http://schemas.openxmlformats.org/spreadsheetml/2006/main" count="1139" uniqueCount="627">
  <si>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</si>
  <si>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</si>
  <si>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</si>
  <si>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</si>
  <si>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</si>
  <si>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</si>
  <si>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</si>
  <si>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</si>
  <si>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</si>
  <si>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</si>
  <si>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</si>
  <si>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</si>
  <si>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</si>
  <si>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C13, C16, C51, C52, C53, C54, C55, C56, C62, C65, C66, C74, C93, C94, C95, C99, C101, C103, C116, C117, C119, C120, C121, C123, C246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</si>
  <si>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</si>
  <si>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</si>
  <si>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</si>
  <si>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</si>
  <si>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</si>
  <si>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</si>
  <si>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</si>
  <si>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</si>
  <si>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</si>
  <si>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</si>
  <si>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</si>
  <si>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</si>
  <si>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</si>
  <si>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</si>
  <si>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</si>
  <si>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</si>
  <si>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</si>
  <si>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</si>
  <si>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</si>
  <si>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</si>
  <si>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</si>
  <si>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</si>
  <si>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</si>
  <si>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</si>
  <si>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</si>
  <si>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</si>
  <si>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</si>
  <si>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</si>
  <si>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</si>
  <si>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</si>
  <si>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</si>
  <si>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</si>
  <si>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</si>
  <si>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</si>
  <si>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</si>
  <si>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</si>
  <si>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</si>
  <si>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</si>
  <si>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</si>
  <si>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</si>
  <si>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</si>
  <si>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</si>
  <si>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</si>
  <si>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</si>
  <si>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</si>
  <si>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</si>
  <si>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</si>
  <si>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</si>
  <si>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</si>
  <si>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</si>
  <si>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</si>
  <si>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</si>
  <si>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</si>
  <si>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</si>
  <si>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</si>
  <si>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</si>
  <si>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</si>
  <si>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</si>
  <si>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</si>
  <si>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</si>
  <si>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</si>
  <si>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</si>
  <si>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</si>
  <si>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</si>
  <si>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</si>
  <si>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</si>
  <si>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</si>
  <si>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</si>
  <si>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</si>
  <si>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</si>
  <si>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</si>
  <si>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</si>
  <si>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</si>
  <si>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</si>
  <si>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</si>
  <si>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</si>
  <si>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</si>
  <si>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</si>
  <si>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</si>
  <si>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</si>
  <si>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</si>
  <si>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</si>
  <si>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</si>
  <si>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</si>
  <si>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</si>
  <si>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</si>
  <si>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</si>
  <si>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</si>
  <si>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</si>
  <si>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</si>
  <si>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</si>
  <si>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</si>
  <si>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</si>
  <si>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</si>
  <si>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</si>
  <si>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</si>
  <si>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</si>
  <si>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</si>
  <si>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</si>
  <si>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</si>
  <si>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</si>
  <si>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</si>
  <si>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</si>
  <si>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</si>
  <si>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</si>
  <si>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</si>
  <si>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</si>
  <si>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</si>
  <si>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</si>
  <si>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</si>
  <si>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</si>
  <si>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</si>
  <si>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</si>
  <si>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</si>
  <si>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</si>
  <si>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</si>
  <si>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</si>
  <si>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</si>
  <si>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</si>
  <si>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</si>
  <si>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</si>
  <si>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</si>
  <si>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</si>
  <si>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</si>
  <si>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</si>
  <si>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</si>
  <si>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</si>
  <si>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</si>
  <si>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</si>
  <si>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</si>
  <si>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</si>
  <si>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</si>
  <si>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</si>
  <si>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</si>
  <si>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</si>
  <si>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</si>
  <si>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</si>
  <si>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</si>
  <si>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</si>
  <si>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</si>
  <si>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</si>
  <si>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</si>
  <si>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</si>
  <si>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</si>
  <si>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</si>
  <si>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</si>
  <si>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</si>
  <si>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</si>
  <si>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</si>
  <si>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</si>
  <si>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</si>
  <si>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</si>
  <si>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</si>
  <si>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</si>
  <si>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</si>
  <si>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</si>
  <si>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</si>
  <si>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</si>
  <si>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</si>
  <si>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</si>
  <si>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</si>
  <si>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</si>
  <si>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</si>
  <si>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</si>
  <si>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</si>
  <si>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</si>
  <si>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</si>
  <si>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</si>
  <si>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</si>
  <si>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</si>
  <si>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100mW Thick Film Resistors 50V ±5% ±100ppm/℃ -55℃~+155℃ 100Ω 0603 Chip Resistor - Surface Mount ROHS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</si>
  <si>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</si>
  <si>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</si>
  <si>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</si>
  <si>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</si>
  <si>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</si>
  <si>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</si>
  <si>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</si>
  <si>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</si>
  <si>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</si>
  <si>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</si>
  <si>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</si>
  <si>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</si>
  <si>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</si>
  <si>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</si>
  <si>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</si>
  <si>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</si>
  <si>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</si>
  <si>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</si>
  <si>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</si>
  <si>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</si>
  <si>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</si>
  <si>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</si>
  <si>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</si>
  <si>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</si>
  <si>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</si>
  <si>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</si>
  <si>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</si>
  <si>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</si>
  <si>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</si>
  <si>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</si>
  <si>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</si>
  <si>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</si>
  <si>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</si>
  <si>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</si>
  <si>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</si>
  <si>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</si>
  <si>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</si>
  <si>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</si>
  <si>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Cap0805</t>
  </si>
  <si>
    <t>Cap 0402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</si>
  <si>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</si>
  <si>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</si>
  <si>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</si>
  <si>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</si>
  <si>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</si>
  <si>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</si>
  <si>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</si>
  <si>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</si>
  <si>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</si>
  <si>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</si>
  <si>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</si>
  <si>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</si>
  <si>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</si>
  <si>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</si>
  <si>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</si>
  <si>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</si>
  <si>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</si>
  <si>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</si>
  <si>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</si>
  <si>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</si>
  <si>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</si>
  <si>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</si>
  <si>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</si>
  <si>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</si>
  <si>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</si>
  <si>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</si>
  <si>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</si>
  <si>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</si>
  <si>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</si>
  <si>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</si>
  <si>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</si>
  <si>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</si>
  <si>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</si>
  <si>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</si>
  <si>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</si>
  <si>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</si>
  <si>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</si>
  <si>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</si>
  <si>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</si>
  <si>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</si>
  <si>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</si>
  <si>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</si>
  <si>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</si>
  <si>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</si>
  <si>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</si>
  <si>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</si>
  <si>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</si>
  <si>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</si>
  <si>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</si>
  <si>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</si>
  <si>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</si>
  <si>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</si>
  <si>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</si>
  <si>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</si>
  <si>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</si>
  <si>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CC0402KRX5R6BB104</t>
  </si>
  <si>
    <t>C1608X5R1E106M080AC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</si>
  <si>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</si>
  <si>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</si>
  <si>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</si>
  <si>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</si>
  <si>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</si>
  <si>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</si>
  <si>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</si>
  <si>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</si>
  <si>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</si>
  <si>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</si>
  <si>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</si>
  <si>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</si>
  <si>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</si>
  <si>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</si>
  <si>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</si>
  <si>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</si>
  <si>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AZ5825-01F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</si>
  <si>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</si>
  <si>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</si>
  <si>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</si>
  <si>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</si>
  <si>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</si>
  <si>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</si>
  <si>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</si>
  <si>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</si>
  <si>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</si>
  <si>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</si>
  <si>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</si>
  <si>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</si>
  <si>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</si>
  <si>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</si>
  <si>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</si>
  <si>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</si>
  <si>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</si>
  <si>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</si>
  <si>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</si>
  <si>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</si>
  <si>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</si>
  <si>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</si>
  <si>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</si>
  <si>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</si>
  <si>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FRC0603J101 TS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</si>
  <si>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</si>
  <si>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</si>
  <si>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</si>
  <si>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</si>
  <si>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</si>
  <si>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</si>
  <si>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</si>
  <si>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</si>
  <si>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</si>
  <si>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</si>
  <si>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</si>
  <si>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</si>
  <si>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</si>
  <si>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</si>
  <si>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</si>
  <si>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</si>
  <si>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</si>
  <si>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</si>
  <si>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</si>
  <si>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</si>
  <si>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</si>
  <si>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</si>
  <si>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</si>
  <si>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</si>
  <si>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</si>
  <si>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</si>
  <si>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</si>
  <si>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</si>
  <si>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</si>
  <si>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</si>
  <si>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</si>
  <si>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</si>
  <si>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</si>
  <si>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</si>
  <si>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</si>
  <si>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</si>
  <si>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</si>
  <si>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</si>
  <si>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</si>
  <si>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</si>
  <si>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</si>
  <si>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</si>
  <si>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</si>
  <si>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</si>
  <si>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</si>
  <si>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</si>
  <si>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</si>
  <si>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</si>
  <si>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</si>
  <si>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</si>
  <si>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</si>
  <si>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</si>
  <si>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</si>
  <si>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</si>
  <si>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</si>
  <si>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</si>
  <si>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Vishay Dale</t>
  </si>
  <si>
    <t>Viking</t>
  </si>
  <si>
    <t>RALEC</t>
  </si>
  <si>
    <t>Panasonic</t>
  </si>
  <si>
    <t>FOJAN</t>
  </si>
  <si>
    <t>Walsin Technologies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</si>
  <si>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</si>
  <si>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</si>
  <si>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</si>
  <si>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</si>
  <si>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</si>
  <si>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</si>
  <si>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</si>
  <si>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</si>
  <si>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</si>
  <si>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</si>
  <si>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</si>
  <si>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</si>
  <si>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</si>
  <si>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</si>
  <si>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</si>
  <si>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</si>
  <si>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</si>
  <si>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</si>
  <si>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</si>
  <si>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</si>
  <si>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</si>
  <si>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</si>
  <si>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</si>
  <si>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</si>
  <si>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</si>
  <si>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</si>
  <si>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</si>
  <si>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</si>
  <si>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</si>
  <si>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</si>
  <si>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</si>
  <si>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</si>
  <si>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</si>
  <si>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</si>
  <si>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</si>
  <si>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</si>
  <si>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</si>
  <si>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</si>
  <si>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</si>
  <si>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</si>
  <si>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</si>
  <si>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</si>
  <si>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</si>
  <si>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</si>
  <si>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</si>
  <si>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</si>
  <si>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</si>
  <si>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</si>
  <si>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</si>
  <si>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</si>
  <si>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</si>
  <si>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</si>
  <si>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</si>
  <si>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</si>
  <si>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</si>
  <si>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</si>
  <si>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</si>
  <si>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</si>
  <si>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</si>
  <si>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</si>
  <si>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</si>
  <si>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</si>
  <si>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</si>
  <si>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</si>
  <si>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</si>
  <si>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</si>
  <si>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</si>
  <si>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</si>
  <si>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</si>
  <si>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</si>
  <si>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</si>
  <si>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</si>
  <si>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</si>
  <si>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</si>
  <si>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</si>
  <si>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</si>
  <si>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</si>
  <si>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</si>
  <si>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</si>
  <si>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</si>
  <si>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Antena</t>
  </si>
  <si>
    <t>Capacitor</t>
  </si>
  <si>
    <t>Diode</t>
  </si>
  <si>
    <t>Fuse</t>
  </si>
  <si>
    <t>Ferrite Bead</t>
  </si>
  <si>
    <t>Connector</t>
  </si>
  <si>
    <t>Header</t>
  </si>
  <si>
    <t>IC</t>
  </si>
  <si>
    <t>Crystal</t>
  </si>
  <si>
    <t>Resistor</t>
  </si>
  <si>
    <t>Inductor</t>
  </si>
  <si>
    <t>LED</t>
  </si>
  <si>
    <t xml:space="preserve">LED </t>
  </si>
  <si>
    <t>Test Point</t>
  </si>
  <si>
    <t>Mosfet</t>
  </si>
  <si>
    <t>Switch</t>
  </si>
  <si>
    <t>Value</t>
  </si>
  <si>
    <t>ESD1,ESD2</t>
  </si>
  <si>
    <t>-</t>
  </si>
  <si>
    <t>0603WAF4021T5E</t>
  </si>
  <si>
    <t>Custom</t>
  </si>
  <si>
    <t>TSOT23-6</t>
  </si>
  <si>
    <t>C201761</t>
  </si>
  <si>
    <t>C2992318</t>
  </si>
  <si>
    <t>C14665</t>
  </si>
  <si>
    <t>C106222</t>
  </si>
  <si>
    <t>C69335</t>
  </si>
  <si>
    <t>C129131</t>
  </si>
  <si>
    <t>C602037</t>
  </si>
  <si>
    <t>C77009</t>
  </si>
  <si>
    <t>C519404</t>
  </si>
  <si>
    <t>C57895</t>
  </si>
  <si>
    <t>C105621</t>
  </si>
  <si>
    <t>C389107</t>
  </si>
  <si>
    <t>C107045</t>
  </si>
  <si>
    <t>C412302</t>
  </si>
  <si>
    <t>C106245</t>
  </si>
  <si>
    <t>C239604</t>
  </si>
  <si>
    <t>C467526</t>
  </si>
  <si>
    <t>C2875160</t>
  </si>
  <si>
    <t>C239666</t>
  </si>
  <si>
    <t>C2827646</t>
  </si>
  <si>
    <t>C82467</t>
  </si>
  <si>
    <t>C5155816</t>
  </si>
  <si>
    <t>C69679</t>
  </si>
  <si>
    <t>C307770</t>
  </si>
  <si>
    <t>C428492</t>
  </si>
  <si>
    <t>C2880618</t>
  </si>
  <si>
    <t>C498674</t>
  </si>
  <si>
    <t>C427307</t>
  </si>
  <si>
    <t>C88374</t>
  </si>
  <si>
    <t>C492415</t>
  </si>
  <si>
    <t>C132560</t>
  </si>
  <si>
    <t>C397335</t>
  </si>
  <si>
    <t>C70381</t>
  </si>
  <si>
    <t>C158012</t>
  </si>
  <si>
    <t>C167951</t>
  </si>
  <si>
    <t>C718375</t>
  </si>
  <si>
    <t>C2934994</t>
  </si>
  <si>
    <t>C705331</t>
  </si>
  <si>
    <t>C2934937</t>
  </si>
  <si>
    <t>C54888</t>
  </si>
  <si>
    <t>C76884</t>
  </si>
  <si>
    <t>C57269</t>
  </si>
  <si>
    <t>C2938368</t>
  </si>
  <si>
    <t>C164886</t>
  </si>
  <si>
    <t>C239589</t>
  </si>
  <si>
    <t>C77977</t>
  </si>
  <si>
    <t>C140867</t>
  </si>
  <si>
    <t>C122538</t>
  </si>
  <si>
    <t>C136943</t>
  </si>
  <si>
    <t>C1509622</t>
  </si>
  <si>
    <t>C2981490</t>
  </si>
  <si>
    <t>C114610</t>
  </si>
  <si>
    <t>C705768</t>
  </si>
  <si>
    <t>C100044</t>
  </si>
  <si>
    <t>C105428</t>
  </si>
  <si>
    <t>C109318</t>
  </si>
  <si>
    <t>C127447</t>
  </si>
  <si>
    <t>C445851</t>
  </si>
  <si>
    <t>C137642</t>
  </si>
  <si>
    <t>C2907089</t>
  </si>
  <si>
    <t>C218062</t>
  </si>
  <si>
    <t>C165964</t>
  </si>
  <si>
    <t>C114615</t>
  </si>
  <si>
    <t>C705750</t>
  </si>
  <si>
    <t>C170482</t>
  </si>
  <si>
    <t>C23040</t>
  </si>
  <si>
    <t>C105578</t>
  </si>
  <si>
    <t>C108661</t>
  </si>
  <si>
    <t>C22936</t>
  </si>
  <si>
    <t>C22871</t>
  </si>
  <si>
    <t>C491135</t>
  </si>
  <si>
    <t>C144088</t>
  </si>
  <si>
    <t>C107696</t>
  </si>
  <si>
    <t>C319577</t>
  </si>
  <si>
    <t>C318893</t>
  </si>
  <si>
    <t>C178249</t>
  </si>
  <si>
    <t>C79313</t>
  </si>
  <si>
    <t>C116592</t>
  </si>
  <si>
    <t>C24639</t>
  </si>
  <si>
    <t>C15651</t>
  </si>
  <si>
    <t>C916171</t>
  </si>
  <si>
    <t>C517266</t>
  </si>
  <si>
    <t>C132291</t>
  </si>
  <si>
    <t>C190642</t>
  </si>
  <si>
    <t>C2840153</t>
  </si>
  <si>
    <t>C719922</t>
  </si>
  <si>
    <t>C70590</t>
  </si>
  <si>
    <t>C2149247</t>
  </si>
  <si>
    <t>C255897</t>
  </si>
  <si>
    <t>Seiko Epson</t>
  </si>
  <si>
    <t>LCSC</t>
  </si>
  <si>
    <t xml:space="preserve">LCSC </t>
  </si>
  <si>
    <t>CSP1.56*1.96-20</t>
  </si>
  <si>
    <t>C8, C44, C46, C112, C232, C233, C234, C236, C237, C238</t>
  </si>
  <si>
    <t>CL10A106MA8NRNC</t>
  </si>
  <si>
    <t>C96446</t>
  </si>
  <si>
    <t>XL-1005BGWC</t>
  </si>
  <si>
    <t>C965797</t>
  </si>
  <si>
    <t>XZCBD68W-2</t>
  </si>
  <si>
    <t>NCD0402R1</t>
  </si>
  <si>
    <t>C130719</t>
  </si>
  <si>
    <t>NCD0402C1</t>
  </si>
  <si>
    <t>C130722</t>
  </si>
  <si>
    <t>SZYY0402Y</t>
  </si>
  <si>
    <t>C434450</t>
  </si>
  <si>
    <t>PZ254V-11-02P</t>
  </si>
  <si>
    <t>PZ254V-11-03P</t>
  </si>
  <si>
    <t>C492401</t>
  </si>
  <si>
    <t>DZ254R-11-06-63</t>
  </si>
  <si>
    <t>C2935912</t>
  </si>
  <si>
    <t>C2937625</t>
  </si>
  <si>
    <t>RC0603FR-0730KL</t>
  </si>
  <si>
    <t>C100001</t>
  </si>
  <si>
    <t>RS-03K3322FT</t>
  </si>
  <si>
    <t>C304736</t>
  </si>
  <si>
    <t>0603WAJ0220T5E</t>
  </si>
  <si>
    <t>C1203</t>
  </si>
  <si>
    <t>C156245</t>
  </si>
  <si>
    <t>C64886</t>
  </si>
  <si>
    <t>FCBGA828 21x21</t>
  </si>
  <si>
    <t>U-USBAR04P-F002</t>
  </si>
  <si>
    <t>C386736</t>
  </si>
  <si>
    <t>RK808 QFN68 K808 Power management chip</t>
  </si>
  <si>
    <t>RK3399 CPU BGA for HD set-top box chip BGA Chipset</t>
  </si>
  <si>
    <t>C23, C25, C35, C36, C37, C38, C39, C40, C41, C42, C47, C57, C58, C60, C67, C78, C82, C96, C105, C124, C161, C162, C163, C174, C179, C182, C230</t>
  </si>
  <si>
    <t>Bill of Materials for Project [HUB_Design]</t>
  </si>
  <si>
    <t>[HUB_Design]</t>
  </si>
  <si>
    <t xml:space="preserve">Total Component Cost </t>
  </si>
  <si>
    <t>Single Board Cost</t>
  </si>
  <si>
    <t>CAP CER 0.1UF 50V X7R 0402</t>
  </si>
  <si>
    <t>GRM155R71H104ME14D</t>
  </si>
  <si>
    <t>CL05B104KB54PNC</t>
  </si>
  <si>
    <t>C307331</t>
  </si>
  <si>
    <t>C3, C29, C61, C142, C144, C241, C245</t>
  </si>
  <si>
    <t>R1, R9, R12, R13, R15, R19, R21, R24, R27, R32, R39, R40, R42, R44, R48, R56, R58, R59, R66, R96, R97, R98, R99, R101, R102, R104, R106, R107, R109, R110, R111, R113, R117, R118, R123, R124, R125</t>
  </si>
  <si>
    <t>R2, R10, R11, R30, R31, R37, R116, R120, R121, R122</t>
  </si>
  <si>
    <t>Karen Quote</t>
  </si>
  <si>
    <t>Custom Supplier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</si>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</sst>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1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9" fillId="6" borderId="19" xfId="0" applyFont="1" applyFill="1" applyBorder="1" applyAlignment="1">
      <alignment horizontal="center"/>
    </xf>
    <xf numFmtId="0" fontId="22" fillId="6" borderId="19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/>
    </xf>
    <xf numFmtId="0" fontId="19" fillId="4" borderId="1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USB-Connectors_XKB-Connectivity-U231-091N-4BLRA00-S_C2880618.html" TargetMode="External"/><Relationship Id="rId21" Type="http://schemas.openxmlformats.org/officeDocument/2006/relationships/hyperlink" Target="https://lcsc.com/product-detail/Schottky-Barrier-Diodes-SBD_onsemi-BAT54CWT1G_C82467.html" TargetMode="External"/><Relationship Id="rId42" Type="http://schemas.openxmlformats.org/officeDocument/2006/relationships/hyperlink" Target="https://www.lcsc.com/product-detail/Power-Inductors_Sunlord-SWPA4030S4R7MT_C57269.html" TargetMode="External"/><Relationship Id="rId47" Type="http://schemas.openxmlformats.org/officeDocument/2006/relationships/hyperlink" Target="https://www.lcsc.com/product-detail/Chip-Resistor-Surface-Mount_YAGEO-AC0603JR-0710KL_C140867.html" TargetMode="External"/><Relationship Id="rId63" Type="http://schemas.openxmlformats.org/officeDocument/2006/relationships/hyperlink" Target="https://www.lcsc.com/product-detail/Chip-Resistor-Surface-Mount_YAGEO-RC0603FR-072ML_C114615.html" TargetMode="External"/><Relationship Id="rId68" Type="http://schemas.openxmlformats.org/officeDocument/2006/relationships/hyperlink" Target="https://www.lcsc.com/product-detail/Chip-Resistor-Surface-Mount_YAGEO-RC0603FR-0733RL_C108661.html" TargetMode="External"/><Relationship Id="rId84" Type="http://schemas.openxmlformats.org/officeDocument/2006/relationships/hyperlink" Target="https://www.lcsc.com/product-detail/Microcontroller-Units-MCUs-MPUs-SOCs_STMicroelectronics-STM32F411CCU6TR_C190642.html" TargetMode="External"/><Relationship Id="rId89" Type="http://schemas.openxmlformats.org/officeDocument/2006/relationships/hyperlink" Target="https://www.lcsc.com/product-detail/Crystals_Seiko-Epson-Q22FA12800078_C255897.html" TargetMode="External"/><Relationship Id="rId16" Type="http://schemas.openxmlformats.org/officeDocument/2006/relationships/hyperlink" Target="https://lcsc.com/product-detail/ESD-Protection-Devices_WILLSEMI-Will-Semicon-ESD5451N-2-TR_C239604.html" TargetMode="External"/><Relationship Id="rId11" Type="http://schemas.openxmlformats.org/officeDocument/2006/relationships/hyperlink" Target="https://lcsc.com/product-detail/Multilayer-Ceramic-Capacitors-MLCC-SMD-SMT_YAGEO-CC0603JRNPO9BN200_C105621.html" TargetMode="External"/><Relationship Id="rId32" Type="http://schemas.openxmlformats.org/officeDocument/2006/relationships/hyperlink" Target="https://www.lcsc.com/product-detail/AC-DC-Power-Connectors_XKB-Connectivity-DC-C024E-7A-1-65_C397335.html" TargetMode="External"/><Relationship Id="rId37" Type="http://schemas.openxmlformats.org/officeDocument/2006/relationships/hyperlink" Target="https://www.lcsc.com/product-detail/Power-Inductors_Me-TECH-MWPY4020-3R3M-T_C2934994.html" TargetMode="External"/><Relationship Id="rId53" Type="http://schemas.openxmlformats.org/officeDocument/2006/relationships/hyperlink" Target="https://www.lcsc.com/product-detail/Chip-Resistor-Surface-Mount_YAGEO-RT0603BRD0733KL_C705768.html" TargetMode="External"/><Relationship Id="rId58" Type="http://schemas.openxmlformats.org/officeDocument/2006/relationships/hyperlink" Target="https://www.lcsc.com/product-detail/Chip-Resistor-Surface-Mount_PANASONIC-ERJPA3J154V_C445851.html" TargetMode="External"/><Relationship Id="rId74" Type="http://schemas.openxmlformats.org/officeDocument/2006/relationships/hyperlink" Target="https://www.lcsc.com/product-detail/Chip-Resistor-Surface-Mount_Viking-Tech-AR03BTDX0470_C319577.html" TargetMode="External"/><Relationship Id="rId79" Type="http://schemas.openxmlformats.org/officeDocument/2006/relationships/hyperlink" Target="https://www.lcsc.com/product-detail/Linear-Voltage-Regulators-LDO_MaxLinear-SPX3819M5-L-1-8-TR_C24639.html" TargetMode="External"/><Relationship Id="rId102" Type="http://schemas.openxmlformats.org/officeDocument/2006/relationships/hyperlink" Target="https://lcsc.com/product-detail/Schottky-Barrier-Diodes-SBD_MDD-Microdiode-Electronics-B5819WS_C64886.html" TargetMode="External"/><Relationship Id="rId5" Type="http://schemas.openxmlformats.org/officeDocument/2006/relationships/hyperlink" Target="https://lcsc.com/product-detail/Multilayer-Ceramic-Capacitors-MLCC-SMD-SMT_Samsung-Electro-Mechanics-CL10A475KA8NQNC_C69335.html" TargetMode="External"/><Relationship Id="rId90" Type="http://schemas.openxmlformats.org/officeDocument/2006/relationships/hyperlink" Target="https://lcsc.com/product-detail/Multilayer-Ceramic-Capacitors-MLCC-SMD-SMT_Samsung-Electro-Mechanics-CL10A106MA8NRNC_C96446.html" TargetMode="External"/><Relationship Id="rId95" Type="http://schemas.openxmlformats.org/officeDocument/2006/relationships/hyperlink" Target="https://lcsc.com/product-detail/span-style-background-color-ff0-Pin-span-Headers_XFCN-PZ254V-11-02P_C492401.html" TargetMode="External"/><Relationship Id="rId22" Type="http://schemas.openxmlformats.org/officeDocument/2006/relationships/hyperlink" Target="https://lcsc.com/product-detail/ESD-Protection-Devices_Leiditech-AZ5825-01F_C5155816.html" TargetMode="External"/><Relationship Id="rId27" Type="http://schemas.openxmlformats.org/officeDocument/2006/relationships/hyperlink" Target="https://lcsc.com/product-detail/USB-Connectors_TE-Connectivity-2305018-2_C498674.html" TargetMode="External"/><Relationship Id="rId43" Type="http://schemas.openxmlformats.org/officeDocument/2006/relationships/hyperlink" Target="https://www.lcsc.com/product-detail/MOSFETs_GOODWORK-AO3401A_C2938368.html" TargetMode="External"/><Relationship Id="rId48" Type="http://schemas.openxmlformats.org/officeDocument/2006/relationships/hyperlink" Target="https://www.lcsc.com/product-detail/Chip-Resistor-Surface-Mount_YAGEO-RT0603BRD07100KL_C122538.html" TargetMode="External"/><Relationship Id="rId64" Type="http://schemas.openxmlformats.org/officeDocument/2006/relationships/hyperlink" Target="https://www.lcsc.com/product-detail/Chip-Resistor-Surface-Mount_YAGEO-RT0603BRD07240RL_C705750.html" TargetMode="External"/><Relationship Id="rId69" Type="http://schemas.openxmlformats.org/officeDocument/2006/relationships/hyperlink" Target="https://www.lcsc.com/product-detail/Chip-Resistor-Surface-Mount_UNI-ROYAL-Uniroyal-Elec-0603WAF100KT5E_C22936.html" TargetMode="External"/><Relationship Id="rId80" Type="http://schemas.openxmlformats.org/officeDocument/2006/relationships/hyperlink" Target="https://www.lcsc.com/product-detail/Linear-Voltage-Regulators-LDO_Richtek-Tech-RT9193-33GB_C15651.html" TargetMode="External"/><Relationship Id="rId85" Type="http://schemas.openxmlformats.org/officeDocument/2006/relationships/hyperlink" Target="https://www.lcsc.com/product-detail/SDRAM_Rayson-RS512M32LD3D2LMZ-125BT_C2840153.html" TargetMode="External"/><Relationship Id="rId12" Type="http://schemas.openxmlformats.org/officeDocument/2006/relationships/hyperlink" Target="https://lcsc.com/product-detail/Multilayer-Ceramic-Capacitors-MLCC-SMD-SMT_YAGEO-AC0603JRNPO0BN470_C389107.html" TargetMode="External"/><Relationship Id="rId17" Type="http://schemas.openxmlformats.org/officeDocument/2006/relationships/hyperlink" Target="https://lcsc.com/product-detail/Zener-Diodes_Vishay-Intertech-BZT52C3V3-E3-08_C467526.html" TargetMode="External"/><Relationship Id="rId33" Type="http://schemas.openxmlformats.org/officeDocument/2006/relationships/hyperlink" Target="https://www.lcsc.com/product-detail/Battery-Connectors_Q-J-CR1220-2_C70381.html" TargetMode="External"/><Relationship Id="rId38" Type="http://schemas.openxmlformats.org/officeDocument/2006/relationships/hyperlink" Target="https://www.lcsc.com/product-detail/Power-Inductors_PROD-Tech-PSPMAA0412-1R0M-ANP_C705331.html" TargetMode="External"/><Relationship Id="rId59" Type="http://schemas.openxmlformats.org/officeDocument/2006/relationships/hyperlink" Target="https://www.lcsc.com/product-detail/Chip-Resistor-Surface-Mount_YAGEO-RC0603JR-07270KL_C137642.html" TargetMode="External"/><Relationship Id="rId103" Type="http://schemas.openxmlformats.org/officeDocument/2006/relationships/hyperlink" Target="https://lcsc.com/product-detail/span-style-background-color-ff0-USB-span-Connectors_Ckmtw-Shenzhen-Cankemeng-U-USBAR04P-F002_C386736.html" TargetMode="External"/><Relationship Id="rId20" Type="http://schemas.openxmlformats.org/officeDocument/2006/relationships/hyperlink" Target="https://lcsc.com/product-detail/ESD-Protection-Devices_TECH-PUBLIC-TPD4E05U06DQAR_C2827646.html" TargetMode="External"/><Relationship Id="rId41" Type="http://schemas.openxmlformats.org/officeDocument/2006/relationships/hyperlink" Target="https://www.lcsc.com/product-detail/Ferrite-Beads_Murata-Electronics-BLM15AG601SN1D_C76884.html" TargetMode="External"/><Relationship Id="rId54" Type="http://schemas.openxmlformats.org/officeDocument/2006/relationships/hyperlink" Target="https://www.lcsc.com/product-detail/Chip-Resistor-Surface-Mount_YAGEO-RC0603FR-070RL_C100044.html" TargetMode="External"/><Relationship Id="rId62" Type="http://schemas.openxmlformats.org/officeDocument/2006/relationships/hyperlink" Target="https://www.lcsc.com/product-detail/Chip-Resistor-Surface-Mount_YAGEO-RT0603DRD071KL_C165964.html" TargetMode="External"/><Relationship Id="rId70" Type="http://schemas.openxmlformats.org/officeDocument/2006/relationships/hyperlink" Target="https://www.lcsc.com/product-detail/Chip-Resistor-Surface-Mount_UNI-ROYAL-Uniroyal-Elec-0603WAF1330T5E_C22871.html" TargetMode="External"/><Relationship Id="rId75" Type="http://schemas.openxmlformats.org/officeDocument/2006/relationships/hyperlink" Target="https://www.lcsc.com/product-detail/Tactile-Switches_XKB-Connectivity-TS-1185EC-C-D-B_C318893.html" TargetMode="External"/><Relationship Id="rId83" Type="http://schemas.openxmlformats.org/officeDocument/2006/relationships/hyperlink" Target="https://www.lcsc.com/product-detail/USB-ICs_onsemi-FUSB302BMPX_C132291.html" TargetMode="External"/><Relationship Id="rId88" Type="http://schemas.openxmlformats.org/officeDocument/2006/relationships/hyperlink" Target="https://www.lcsc.com/product-detail/Crystals_JYJE-5TJ480000XYLBC_C2149247.html" TargetMode="External"/><Relationship Id="rId91" Type="http://schemas.openxmlformats.org/officeDocument/2006/relationships/hyperlink" Target="https://lcsc.com/product-detail/Light-Emitting-Diodes-span-style-background-color-ff0-LED-span_XINGLIGHT-XL-1005BGWC_C965797.html" TargetMode="External"/><Relationship Id="rId96" Type="http://schemas.openxmlformats.org/officeDocument/2006/relationships/hyperlink" Target="https://lcsc.com/product-detail/span-style-background-color-ff0-Pin-span-Headers_DEALON-DZ254R-11-06-63_C2935912.html" TargetMode="External"/><Relationship Id="rId1" Type="http://schemas.openxmlformats.org/officeDocument/2006/relationships/hyperlink" Target="https://lcsc.com/product-detail/Antennas_Walsin-Tech-Corp-RFANT5220110A2T_C201761.html" TargetMode="External"/><Relationship Id="rId6" Type="http://schemas.openxmlformats.org/officeDocument/2006/relationships/hyperlink" Target="https://lcsc.com/product-detail/Multilayer-Ceramic-Capacitors-MLCC-SMD-SMT_YAGEO-CC0402KRX5R6BB104_C129131.html" TargetMode="External"/><Relationship Id="rId15" Type="http://schemas.openxmlformats.org/officeDocument/2006/relationships/hyperlink" Target="https://lcsc.com/product-detail/Multilayer-Ceramic-Capacitors-MLCC-SMD-SMT_YAGEO-CC0603JRNPO9BN100_C106245.html" TargetMode="External"/><Relationship Id="rId23" Type="http://schemas.openxmlformats.org/officeDocument/2006/relationships/hyperlink" Target="https://lcsc.com/product-detail/Resettable-Fuses_TECHFUSE-SMD0603-050_C69679.html" TargetMode="External"/><Relationship Id="rId28" Type="http://schemas.openxmlformats.org/officeDocument/2006/relationships/hyperlink" Target="https://lcsc.com/product-detail/D-Sub-DVI-HDMI-Connectors_Amphenol-ICC-10029449-111RLF_C427307.html" TargetMode="External"/><Relationship Id="rId36" Type="http://schemas.openxmlformats.org/officeDocument/2006/relationships/hyperlink" Target="https://www.lcsc.com/product-detail/Power-Inductors_YJYCOIN-YSPI0520-2R2M_C718375.html" TargetMode="External"/><Relationship Id="rId49" Type="http://schemas.openxmlformats.org/officeDocument/2006/relationships/hyperlink" Target="https://www.lcsc.com/product-detail/Chip-Resistor-Surface-Mount_YAGEO-RT0603DRD07200KL_C136943.html" TargetMode="External"/><Relationship Id="rId57" Type="http://schemas.openxmlformats.org/officeDocument/2006/relationships/hyperlink" Target="https://www.lcsc.com/product-detail/Chip-Resistor-Surface-Mount_YAGEO-RC0603JR-0747KL_C127447.html" TargetMode="External"/><Relationship Id="rId106" Type="http://schemas.openxmlformats.org/officeDocument/2006/relationships/drawing" Target="../drawings/drawing1.xml"/><Relationship Id="rId10" Type="http://schemas.openxmlformats.org/officeDocument/2006/relationships/hyperlink" Target="https://lcsc.com/product-detail/Multilayer-Ceramic-Capacitors-MLCC-SMD-SMT_Samsung-Electro-Mechanics-CL10A225KA8NNNC_C57895.html" TargetMode="External"/><Relationship Id="rId31" Type="http://schemas.openxmlformats.org/officeDocument/2006/relationships/hyperlink" Target="https://www.lcsc.com/product-detail/USB-Connectors_MOLEX-473460001_C132560.html" TargetMode="External"/><Relationship Id="rId44" Type="http://schemas.openxmlformats.org/officeDocument/2006/relationships/hyperlink" Target="https://www.lcsc.com/product-detail/Bipolar-Transistors-BJT_Jiangsu-Changjing-Electronics-Technology-Co-Ltd-SS8050-G_C164886.html" TargetMode="External"/><Relationship Id="rId52" Type="http://schemas.openxmlformats.org/officeDocument/2006/relationships/hyperlink" Target="https://www.lcsc.com/product-detail/Chip-Resistor-Surface-Mount_YAGEO-RC0603FR-0718KL_C114610.html" TargetMode="External"/><Relationship Id="rId60" Type="http://schemas.openxmlformats.org/officeDocument/2006/relationships/hyperlink" Target="https://www.lcsc.com/product-detail/Chip-Resistor-Surface-Mount_FOJAN-FRC0603J101-TS_C2907089.html" TargetMode="External"/><Relationship Id="rId65" Type="http://schemas.openxmlformats.org/officeDocument/2006/relationships/hyperlink" Target="https://www.lcsc.com/product-detail/Chip-Resistor-Surface-Mount_Walsin-Tech-Corp-WR06X1621FTL_C170482.html" TargetMode="External"/><Relationship Id="rId73" Type="http://schemas.openxmlformats.org/officeDocument/2006/relationships/hyperlink" Target="https://www.lcsc.com/product-detail/Chip-Resistor-Surface-Mount_YAGEO-RC0603FR-07220RL_C107696.html" TargetMode="External"/><Relationship Id="rId78" Type="http://schemas.openxmlformats.org/officeDocument/2006/relationships/hyperlink" Target="https://www.lcsc.com/product-detail/DC-DC-Converters_Texas-Instruments-TPS563201DDCR_C116592.html" TargetMode="External"/><Relationship Id="rId81" Type="http://schemas.openxmlformats.org/officeDocument/2006/relationships/hyperlink" Target="https://www.lcsc.com/product-detail/Linear-Voltage-Regulators-LDO_MaxLinear-SPX3819M5-L-3-0-TR_C916171.html" TargetMode="External"/><Relationship Id="rId86" Type="http://schemas.openxmlformats.org/officeDocument/2006/relationships/hyperlink" Target="https://www.lcsc.com/product-detail/eMMC_FORESEE-FSEIASLD-64G_C719922.html" TargetMode="External"/><Relationship Id="rId94" Type="http://schemas.openxmlformats.org/officeDocument/2006/relationships/hyperlink" Target="https://lcsc.com/product-detail/Light-Emitting-Diodes-span-style-background-color-ff0-LED-span_Yongyu-Photoelectric-SZYY0402Y_C434450.html" TargetMode="External"/><Relationship Id="rId99" Type="http://schemas.openxmlformats.org/officeDocument/2006/relationships/hyperlink" Target="https://lcsc.com/product-detail/Chip-Resistor-Surface-Mount_FH-Guangdong-Fenghua-Advanced-Tech-RS-03K3322FT_C304736.html" TargetMode="External"/><Relationship Id="rId101" Type="http://schemas.openxmlformats.org/officeDocument/2006/relationships/hyperlink" Target="https://lcsc.com/product-detail/Crystals_NDK-NX3215SA-32-768K-STD-MUA-8_C156245.html" TargetMode="External"/><Relationship Id="rId4" Type="http://schemas.openxmlformats.org/officeDocument/2006/relationships/hyperlink" Target="https://lcsc.com/product-detail/Multilayer-Ceramic-Capacitors-MLCC-SMD-SMT_YAGEO-CC0603KRX7R9BB223_C106222.html" TargetMode="External"/><Relationship Id="rId9" Type="http://schemas.openxmlformats.org/officeDocument/2006/relationships/hyperlink" Target="https://lcsc.com/product-detail/Multilayer-Ceramic-Capacitors-MLCC-SMD-SMT_YAGEO-CC0603KRX7R8BB102_C519404.html" TargetMode="External"/><Relationship Id="rId13" Type="http://schemas.openxmlformats.org/officeDocument/2006/relationships/hyperlink" Target="https://lcsc.com/product-detail/Multilayer-Ceramic-Capacitors-MLCC-SMD-SMT_YAGEO-CC0603JRNPO9BN270_C107045.html" TargetMode="External"/><Relationship Id="rId18" Type="http://schemas.openxmlformats.org/officeDocument/2006/relationships/hyperlink" Target="https://lcsc.com/product-detail/ESD-Protection-Devices_TECH-PUBLIC-ESD9X5VU_C2875160.html" TargetMode="External"/><Relationship Id="rId39" Type="http://schemas.openxmlformats.org/officeDocument/2006/relationships/hyperlink" Target="https://www.lcsc.com/product-detail/Power-Inductors_Me-TECH-MHP0302-2R2M_C2934937.html" TargetMode="External"/><Relationship Id="rId34" Type="http://schemas.openxmlformats.org/officeDocument/2006/relationships/hyperlink" Target="https://www.lcsc.com/product-detail/Wire-To-Board-Wire-To-Wire-Connector_JST-Sales-America-B2B-XH-A-LF-SN_C158012.html" TargetMode="External"/><Relationship Id="rId50" Type="http://schemas.openxmlformats.org/officeDocument/2006/relationships/hyperlink" Target="https://www.lcsc.com/product-detail/Chip-Resistor-Surface-Mount_Viking-Tech-ARG03BTC1183_C1509622.html" TargetMode="External"/><Relationship Id="rId55" Type="http://schemas.openxmlformats.org/officeDocument/2006/relationships/hyperlink" Target="https://www.lcsc.com/product-detail/Chip-Resistor-Surface-Mount_YAGEO-RC0603JR-074K7L_C105428.html" TargetMode="External"/><Relationship Id="rId76" Type="http://schemas.openxmlformats.org/officeDocument/2006/relationships/hyperlink" Target="https://www.lcsc.com/product-detail/DC-DC-Converters_Silergy-Corp-SYR838PKC_C178249.html" TargetMode="External"/><Relationship Id="rId97" Type="http://schemas.openxmlformats.org/officeDocument/2006/relationships/hyperlink" Target="https://lcsc.com/product-detail/span-style-background-color-ff0-Pin-span-Headers_XFCN-PZ254V-11-03P_C2937625.html" TargetMode="External"/><Relationship Id="rId104" Type="http://schemas.openxmlformats.org/officeDocument/2006/relationships/hyperlink" Target="https://lcsc.com/product-detail/Multilayer-Ceramic-Capacitors-MLCC-SMD-SMT_Samsung-Electro-Mechanics-CL05B104KB54PNC_C307331.html" TargetMode="External"/><Relationship Id="rId7" Type="http://schemas.openxmlformats.org/officeDocument/2006/relationships/hyperlink" Target="https://lcsc.com/product-detail/Multilayer-Ceramic-Capacitors-MLCC-SMD-SMT_Samsung-Electro-Mechanics-CL21A226MAYNNNE_C602037.html" TargetMode="External"/><Relationship Id="rId71" Type="http://schemas.openxmlformats.org/officeDocument/2006/relationships/hyperlink" Target="https://www.lcsc.com/product-detail/Chip-Resistor-Surface-Mount_PANASONIC-ERA3AEB4990V_C491135.html" TargetMode="External"/><Relationship Id="rId92" Type="http://schemas.openxmlformats.org/officeDocument/2006/relationships/hyperlink" Target="https://lcsc.com/product-detail/Light-Emitting-Diodes-span-style-background-color-ff0-LED-span_Foshan-NationStar-Optoelectronics-NCD0402R1_C130719.html" TargetMode="External"/><Relationship Id="rId2" Type="http://schemas.openxmlformats.org/officeDocument/2006/relationships/hyperlink" Target="https://lcsc.com/product-detail/Antennas_Walsin-Tech-Corp-RFECA3216060K1T_C2992318.html" TargetMode="External"/><Relationship Id="rId29" Type="http://schemas.openxmlformats.org/officeDocument/2006/relationships/hyperlink" Target="https://www.lcsc.com/product-detail/RF-Connectors-Coaxial-Connectors_HRS-Hirose-U-FL-R-SMT-1-80_C88374.html" TargetMode="External"/><Relationship Id="rId24" Type="http://schemas.openxmlformats.org/officeDocument/2006/relationships/hyperlink" Target="https://lcsc.com/product-detail/Ferrite-Beads_TDK-MPZ1608S121ATDH5_C307770.html" TargetMode="External"/><Relationship Id="rId40" Type="http://schemas.openxmlformats.org/officeDocument/2006/relationships/hyperlink" Target="https://www.lcsc.com/product-detail/Common-Mode-Filters_Sunlord-SDCW2012-2-900TF_C54888.html" TargetMode="External"/><Relationship Id="rId45" Type="http://schemas.openxmlformats.org/officeDocument/2006/relationships/hyperlink" Target="https://www.lcsc.com/product-detail/MOSFETs_WILLSEMI-Will-Semicon-WNM6001-3-TR_C239589.html" TargetMode="External"/><Relationship Id="rId66" Type="http://schemas.openxmlformats.org/officeDocument/2006/relationships/hyperlink" Target="https://www.lcsc.com/product-detail/Chip-Resistor-Surface-Mount_UNI-ROYAL-Uniroyal-Elec-0603WAF4021T5E_C23040.html" TargetMode="External"/><Relationship Id="rId87" Type="http://schemas.openxmlformats.org/officeDocument/2006/relationships/hyperlink" Target="https://www.lcsc.com/product-detail/Crystals_Yangxing-Tech-X322524MOB4SI_C70590.html" TargetMode="External"/><Relationship Id="rId61" Type="http://schemas.openxmlformats.org/officeDocument/2006/relationships/hyperlink" Target="https://www.lcsc.com/product-detail/Chip-Resistor-Surface-Mount_Viking-Tech-ARG03FTC5102_C218062.html" TargetMode="External"/><Relationship Id="rId82" Type="http://schemas.openxmlformats.org/officeDocument/2006/relationships/hyperlink" Target="https://www.lcsc.com/product-detail/Power-Distribution-Switches_LOWPOWER-LPW5209B5F-21_C517266.html" TargetMode="External"/><Relationship Id="rId19" Type="http://schemas.openxmlformats.org/officeDocument/2006/relationships/hyperlink" Target="https://lcsc.com/product-detail/ESD-Protection-Devices_WILLSEMI-Will-Semicon-ESD5344D-10-TR_C239666.html" TargetMode="External"/><Relationship Id="rId14" Type="http://schemas.openxmlformats.org/officeDocument/2006/relationships/hyperlink" Target="https://lcsc.com/product-detail/Multilayer-Ceramic-Capacitors-MLCC-SMD-SMT_Taiyo-Yuden-EDK105BBJ475MVLF_C412302.html" TargetMode="External"/><Relationship Id="rId30" Type="http://schemas.openxmlformats.org/officeDocument/2006/relationships/hyperlink" Target="https://www.lcsc.com/product-detail/Pin-Headers_XFCN-PZ254R-11-07P_C492415.html" TargetMode="External"/><Relationship Id="rId35" Type="http://schemas.openxmlformats.org/officeDocument/2006/relationships/hyperlink" Target="https://www.lcsc.com/product-detail/Power-Inductors_cjiang-Changjiang-Microelectronics-Tech-FNR5040SR24NT_C167951.html" TargetMode="External"/><Relationship Id="rId56" Type="http://schemas.openxmlformats.org/officeDocument/2006/relationships/hyperlink" Target="https://www.lcsc.com/product-detail/Chip-Resistor-Surface-Mount_YAGEO-RC0603FR-0710RL_C109318.html" TargetMode="External"/><Relationship Id="rId77" Type="http://schemas.openxmlformats.org/officeDocument/2006/relationships/hyperlink" Target="https://www.lcsc.com/product-detail/DC-DC-Converters_Silergy-Corp-SY8088AAC_C79313.html" TargetMode="External"/><Relationship Id="rId100" Type="http://schemas.openxmlformats.org/officeDocument/2006/relationships/hyperlink" Target="https://lcsc.com/product-detail/Chip-Resistor-Surface-Mount_UNI-ROYAL-Uniroyal-Elec-0603WAJ0220T5E_C1203.html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Murata-Electronics-GRM155R61E105KA12D_C77009.html" TargetMode="External"/><Relationship Id="rId51" Type="http://schemas.openxmlformats.org/officeDocument/2006/relationships/hyperlink" Target="https://www.lcsc.com/product-detail/Chip-Resistor-Surface-Mount_RALEC-RTT031202BTP_C2981490.html" TargetMode="External"/><Relationship Id="rId72" Type="http://schemas.openxmlformats.org/officeDocument/2006/relationships/hyperlink" Target="https://www.lcsc.com/product-detail/Chip-Resistor-Surface-Mount_YAGEO-AF0603FR-071K5L_C144088.html" TargetMode="External"/><Relationship Id="rId93" Type="http://schemas.openxmlformats.org/officeDocument/2006/relationships/hyperlink" Target="https://lcsc.com/product-detail/Light-Emitting-Diodes-span-style-background-color-ff0-LED-span_Foshan-NationStar-Optoelectronics-NCD0402C1_C130722.html" TargetMode="External"/><Relationship Id="rId98" Type="http://schemas.openxmlformats.org/officeDocument/2006/relationships/hyperlink" Target="https://lcsc.com/product-detail/Chip-Resistor-Surface-Mount_YAGEO-RC0603FR-0730KL_C100001.html" TargetMode="External"/><Relationship Id="rId3" Type="http://schemas.openxmlformats.org/officeDocument/2006/relationships/hyperlink" Target="https://lcsc.com/product-detail/Multilayer-Ceramic-Capacitors-MLCC-SMD-SMT_YAGEO-CC0603JRNPO9BN101_C14665.html" TargetMode="External"/><Relationship Id="rId25" Type="http://schemas.openxmlformats.org/officeDocument/2006/relationships/hyperlink" Target="https://lcsc.com/product-detail/SD-Card-Connectors_MOLEX-5033981892_C428492.html" TargetMode="External"/><Relationship Id="rId46" Type="http://schemas.openxmlformats.org/officeDocument/2006/relationships/hyperlink" Target="https://www.lcsc.com/product-detail/MOSFETs_MCC-Micro-Commercial-Components-SI2302-TP_C77977.html" TargetMode="External"/><Relationship Id="rId67" Type="http://schemas.openxmlformats.org/officeDocument/2006/relationships/hyperlink" Target="https://www.lcsc.com/product-detail/Chip-Resistor-Surface-Mount_YAGEO-RC0603FR-071ML_C1055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21"/>
  <sheetViews>
    <sheetView tabSelected="1" topLeftCell="A25" workbookViewId="0">
      <selection activeCell="F39" sqref="F39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1.5703125" bestFit="1" customWidth="1"/>
    <col min="10" max="10" width="17.5703125" bestFit="1" customWidth="1"/>
    <col min="11" max="11" width="7.28515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5.7109375" bestFit="1" customWidth="1"/>
    <col min="16" max="16" width="19.7109375" bestFit="1" customWidth="1"/>
    <col min="17" max="17" width="20.28515625" bestFit="1" customWidth="1"/>
    <col min="18" max="18" width="11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9"/>
      <c r="D2" s="11" t="s">
        <v>0</v>
      </c>
      <c r="E2" s="11"/>
      <c r="F2" s="56" t="s">
        <v>613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7" t="s">
        <v>614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40"/>
      <c r="D4" s="13" t="s">
        <v>2</v>
      </c>
      <c r="E4" s="13"/>
      <c r="F4" s="58" t="s">
        <v>614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40"/>
      <c r="D5" s="13" t="s">
        <v>3</v>
      </c>
      <c r="E5" s="13"/>
      <c r="F5" s="59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456</v>
      </c>
      <c r="D9" s="30" t="s">
        <v>6</v>
      </c>
      <c r="E9" s="31" t="s">
        <v>111</v>
      </c>
      <c r="F9" s="30" t="s">
        <v>218</v>
      </c>
      <c r="G9" s="31" t="s">
        <v>275</v>
      </c>
      <c r="H9" s="30" t="s">
        <v>348</v>
      </c>
      <c r="I9" s="30" t="s">
        <v>457</v>
      </c>
      <c r="J9" s="30" t="s">
        <v>458</v>
      </c>
      <c r="K9" s="30" t="s">
        <v>482</v>
      </c>
      <c r="L9" s="31" t="s">
        <v>455</v>
      </c>
      <c r="M9" s="30" t="s">
        <v>459</v>
      </c>
      <c r="N9" s="30" t="s">
        <v>460</v>
      </c>
      <c r="O9" s="30" t="s">
        <v>461</v>
      </c>
      <c r="P9" s="30" t="s">
        <v>462</v>
      </c>
      <c r="Q9" s="30" t="s">
        <v>463</v>
      </c>
      <c r="R9" s="32" t="s">
        <v>464</v>
      </c>
      <c r="S9" s="32" t="s">
        <v>465</v>
      </c>
    </row>
    <row r="10" spans="1:19" ht="15.75" thickBot="1" x14ac:dyDescent="0.3">
      <c r="A10" s="1"/>
      <c r="B10" s="38">
        <f>ROW(B10) - ROW($B$9)</f>
        <v>1</v>
      </c>
      <c r="C10" s="60" t="s">
        <v>466</v>
      </c>
      <c r="D10" s="46" t="s">
        <v>7</v>
      </c>
      <c r="E10" s="47" t="s">
        <v>112</v>
      </c>
      <c r="F10" s="46" t="s">
        <v>486</v>
      </c>
      <c r="G10" s="47" t="s">
        <v>219</v>
      </c>
      <c r="H10" s="46" t="s">
        <v>349</v>
      </c>
      <c r="I10" s="46" t="s">
        <v>484</v>
      </c>
      <c r="J10" s="46" t="s">
        <v>488</v>
      </c>
      <c r="K10" s="46" t="s">
        <v>484</v>
      </c>
      <c r="L10" s="47">
        <v>1</v>
      </c>
      <c r="M10" s="46">
        <f>L10*10</f>
        <v>10</v>
      </c>
      <c r="N10" s="46">
        <v>12</v>
      </c>
      <c r="O10" s="62" t="s">
        <v>578</v>
      </c>
      <c r="P10" s="54">
        <v>0.1178</v>
      </c>
      <c r="Q10" s="54">
        <f>P10*N10</f>
        <v>1.4136</v>
      </c>
      <c r="R10" s="48"/>
      <c r="S10" s="49"/>
    </row>
    <row r="11" spans="1:19" ht="15.75" thickBot="1" x14ac:dyDescent="0.3">
      <c r="A11" s="1"/>
      <c r="B11" s="38">
        <f t="shared" ref="B11:B118" si="0">ROW(B11) - ROW($B$9)</f>
        <v>2</v>
      </c>
      <c r="C11" s="61" t="s">
        <v>466</v>
      </c>
      <c r="D11" s="50" t="s">
        <v>8</v>
      </c>
      <c r="E11" s="51" t="s">
        <v>113</v>
      </c>
      <c r="F11" s="50" t="s">
        <v>220</v>
      </c>
      <c r="G11" s="51" t="s">
        <v>276</v>
      </c>
      <c r="H11" s="50" t="s">
        <v>350</v>
      </c>
      <c r="I11" s="50" t="s">
        <v>484</v>
      </c>
      <c r="J11" s="50" t="s">
        <v>489</v>
      </c>
      <c r="K11" s="50" t="s">
        <v>484</v>
      </c>
      <c r="L11" s="51">
        <v>1</v>
      </c>
      <c r="M11" s="50">
        <f t="shared" ref="M11:M69" si="1">L11*10</f>
        <v>10</v>
      </c>
      <c r="N11" s="50">
        <v>15</v>
      </c>
      <c r="O11" s="63" t="s">
        <v>579</v>
      </c>
      <c r="P11" s="55">
        <v>0.10349999999999999</v>
      </c>
      <c r="Q11" s="55">
        <f t="shared" ref="Q11:Q69" si="2">P11*N11</f>
        <v>1.5525</v>
      </c>
      <c r="R11" s="52"/>
      <c r="S11" s="53"/>
    </row>
    <row r="12" spans="1:19" ht="15.75" thickBot="1" x14ac:dyDescent="0.3">
      <c r="A12" s="1"/>
      <c r="B12" s="38">
        <f>ROW(B12) - ROW($B$9)</f>
        <v>3</v>
      </c>
      <c r="C12" s="60" t="s">
        <v>467</v>
      </c>
      <c r="D12" s="46" t="s">
        <v>9</v>
      </c>
      <c r="E12" s="47" t="s">
        <v>114</v>
      </c>
      <c r="F12" s="46" t="s">
        <v>221</v>
      </c>
      <c r="G12" s="47" t="s">
        <v>277</v>
      </c>
      <c r="H12" s="46" t="s">
        <v>351</v>
      </c>
      <c r="I12" s="46" t="s">
        <v>484</v>
      </c>
      <c r="J12" s="46" t="s">
        <v>490</v>
      </c>
      <c r="K12" s="46" t="s">
        <v>403</v>
      </c>
      <c r="L12" s="47">
        <v>3</v>
      </c>
      <c r="M12" s="46">
        <f t="shared" si="1"/>
        <v>30</v>
      </c>
      <c r="N12" s="46">
        <v>100</v>
      </c>
      <c r="O12" s="62" t="s">
        <v>578</v>
      </c>
      <c r="P12" s="54">
        <v>2.0999999999999999E-3</v>
      </c>
      <c r="Q12" s="54">
        <f t="shared" si="2"/>
        <v>0.21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1" t="s">
        <v>467</v>
      </c>
      <c r="D13" s="50" t="s">
        <v>10</v>
      </c>
      <c r="E13" s="51" t="s">
        <v>115</v>
      </c>
      <c r="F13" s="50" t="s">
        <v>221</v>
      </c>
      <c r="G13" s="51" t="s">
        <v>278</v>
      </c>
      <c r="H13" s="50" t="s">
        <v>351</v>
      </c>
      <c r="I13" s="50" t="s">
        <v>484</v>
      </c>
      <c r="J13" s="50" t="s">
        <v>491</v>
      </c>
      <c r="K13" s="50" t="s">
        <v>404</v>
      </c>
      <c r="L13" s="51">
        <v>5</v>
      </c>
      <c r="M13" s="50">
        <f t="shared" si="1"/>
        <v>50</v>
      </c>
      <c r="N13" s="50">
        <v>100</v>
      </c>
      <c r="O13" s="63" t="s">
        <v>578</v>
      </c>
      <c r="P13" s="55">
        <v>3.0000000000000001E-3</v>
      </c>
      <c r="Q13" s="55">
        <f t="shared" si="2"/>
        <v>0.3</v>
      </c>
      <c r="R13" s="52"/>
      <c r="S13" s="53"/>
    </row>
    <row r="14" spans="1:19" ht="15.75" thickBot="1" x14ac:dyDescent="0.3">
      <c r="A14" s="1"/>
      <c r="B14" s="38">
        <f>ROW(B14) - ROW($B$9)</f>
        <v>5</v>
      </c>
      <c r="C14" s="60" t="s">
        <v>467</v>
      </c>
      <c r="D14" s="46" t="s">
        <v>621</v>
      </c>
      <c r="E14" s="47" t="s">
        <v>116</v>
      </c>
      <c r="F14" s="46" t="s">
        <v>221</v>
      </c>
      <c r="G14" s="47" t="s">
        <v>279</v>
      </c>
      <c r="H14" s="46" t="s">
        <v>352</v>
      </c>
      <c r="I14" s="46" t="s">
        <v>484</v>
      </c>
      <c r="J14" s="46" t="s">
        <v>492</v>
      </c>
      <c r="K14" s="46" t="s">
        <v>405</v>
      </c>
      <c r="L14" s="47">
        <v>7</v>
      </c>
      <c r="M14" s="46">
        <f t="shared" si="1"/>
        <v>70</v>
      </c>
      <c r="N14" s="46">
        <v>80</v>
      </c>
      <c r="O14" s="62" t="s">
        <v>578</v>
      </c>
      <c r="P14" s="54">
        <v>1.8100000000000002E-2</v>
      </c>
      <c r="Q14" s="54">
        <f t="shared" si="2"/>
        <v>1.4480000000000002</v>
      </c>
      <c r="R14" s="48"/>
      <c r="S14" s="48"/>
    </row>
    <row r="15" spans="1:19" ht="252.75" thickBot="1" x14ac:dyDescent="0.3">
      <c r="A15" s="1"/>
      <c r="B15" s="38">
        <f t="shared" si="0"/>
        <v>6</v>
      </c>
      <c r="C15" s="61" t="s">
        <v>467</v>
      </c>
      <c r="D15" s="50" t="s">
        <v>11</v>
      </c>
      <c r="E15" s="51" t="s">
        <v>117</v>
      </c>
      <c r="F15" s="50" t="s">
        <v>222</v>
      </c>
      <c r="G15" s="51" t="s">
        <v>280</v>
      </c>
      <c r="H15" s="50" t="s">
        <v>351</v>
      </c>
      <c r="I15" s="50" t="s">
        <v>484</v>
      </c>
      <c r="J15" s="50" t="s">
        <v>493</v>
      </c>
      <c r="K15" s="50" t="s">
        <v>406</v>
      </c>
      <c r="L15" s="51">
        <v>126</v>
      </c>
      <c r="M15" s="50">
        <f t="shared" si="1"/>
        <v>1260</v>
      </c>
      <c r="N15" s="50">
        <v>1300</v>
      </c>
      <c r="O15" s="63" t="s">
        <v>578</v>
      </c>
      <c r="P15" s="55">
        <v>8.9999999999999998E-4</v>
      </c>
      <c r="Q15" s="55">
        <f t="shared" si="2"/>
        <v>1.17</v>
      </c>
      <c r="R15" s="52"/>
      <c r="S15" s="53"/>
    </row>
    <row r="16" spans="1:19" ht="36.75" thickBot="1" x14ac:dyDescent="0.3">
      <c r="A16" s="1"/>
      <c r="B16" s="38">
        <f>ROW(B16) - ROW($B$9)</f>
        <v>7</v>
      </c>
      <c r="C16" s="60" t="s">
        <v>467</v>
      </c>
      <c r="D16" s="46" t="s">
        <v>12</v>
      </c>
      <c r="E16" s="47" t="s">
        <v>118</v>
      </c>
      <c r="F16" s="46" t="s">
        <v>221</v>
      </c>
      <c r="G16" s="64" t="s">
        <v>281</v>
      </c>
      <c r="H16" s="46" t="s">
        <v>353</v>
      </c>
      <c r="I16" s="46" t="s">
        <v>582</v>
      </c>
      <c r="J16" s="46" t="s">
        <v>583</v>
      </c>
      <c r="K16" s="46" t="s">
        <v>407</v>
      </c>
      <c r="L16" s="47">
        <v>16</v>
      </c>
      <c r="M16" s="46">
        <f t="shared" si="1"/>
        <v>160</v>
      </c>
      <c r="N16" s="46">
        <v>180</v>
      </c>
      <c r="O16" s="62" t="s">
        <v>578</v>
      </c>
      <c r="P16" s="54">
        <v>1.4200000000000001E-2</v>
      </c>
      <c r="Q16" s="54">
        <f t="shared" si="2"/>
        <v>2.556</v>
      </c>
      <c r="R16" s="48"/>
      <c r="S16" s="48"/>
    </row>
    <row r="17" spans="1:19" ht="48.75" thickBot="1" x14ac:dyDescent="0.3">
      <c r="A17" s="1"/>
      <c r="B17" s="38">
        <f>ROW(B17) - ROW($B$9)</f>
        <v>8</v>
      </c>
      <c r="C17" s="61" t="s">
        <v>467</v>
      </c>
      <c r="D17" s="50" t="s">
        <v>13</v>
      </c>
      <c r="E17" s="51" t="s">
        <v>119</v>
      </c>
      <c r="F17" s="50" t="s">
        <v>223</v>
      </c>
      <c r="G17" s="51" t="s">
        <v>282</v>
      </c>
      <c r="H17" s="50" t="s">
        <v>352</v>
      </c>
      <c r="I17" s="50" t="s">
        <v>484</v>
      </c>
      <c r="J17" s="50" t="s">
        <v>494</v>
      </c>
      <c r="K17" s="50" t="s">
        <v>408</v>
      </c>
      <c r="L17" s="51">
        <v>25</v>
      </c>
      <c r="M17" s="50">
        <f t="shared" si="1"/>
        <v>250</v>
      </c>
      <c r="N17" s="50">
        <v>280</v>
      </c>
      <c r="O17" s="63" t="s">
        <v>578</v>
      </c>
      <c r="P17" s="55">
        <v>1.3599999999999999E-2</v>
      </c>
      <c r="Q17" s="55">
        <f t="shared" si="2"/>
        <v>3.8079999999999998</v>
      </c>
      <c r="R17" s="52"/>
      <c r="S17" s="53"/>
    </row>
    <row r="18" spans="1:19" ht="60.75" thickBot="1" x14ac:dyDescent="0.3">
      <c r="A18" s="1"/>
      <c r="B18" s="38">
        <f t="shared" si="0"/>
        <v>9</v>
      </c>
      <c r="C18" s="60" t="s">
        <v>467</v>
      </c>
      <c r="D18" s="46" t="s">
        <v>612</v>
      </c>
      <c r="E18" s="47" t="s">
        <v>120</v>
      </c>
      <c r="F18" s="46" t="s">
        <v>222</v>
      </c>
      <c r="G18" s="47" t="s">
        <v>283</v>
      </c>
      <c r="H18" s="46" t="s">
        <v>354</v>
      </c>
      <c r="I18" s="46" t="s">
        <v>484</v>
      </c>
      <c r="J18" s="46" t="s">
        <v>495</v>
      </c>
      <c r="K18" s="46" t="s">
        <v>409</v>
      </c>
      <c r="L18" s="47">
        <v>27</v>
      </c>
      <c r="M18" s="46">
        <f t="shared" si="1"/>
        <v>270</v>
      </c>
      <c r="N18" s="46">
        <v>300</v>
      </c>
      <c r="O18" s="62" t="s">
        <v>578</v>
      </c>
      <c r="P18" s="54">
        <v>5.1999999999999998E-3</v>
      </c>
      <c r="Q18" s="54">
        <f t="shared" si="2"/>
        <v>1.5599999999999998</v>
      </c>
      <c r="R18" s="48"/>
      <c r="S18" s="48"/>
    </row>
    <row r="19" spans="1:19" ht="24.75" thickBot="1" x14ac:dyDescent="0.3">
      <c r="A19" s="1"/>
      <c r="B19" s="38">
        <f>ROW(B19) - ROW($B$9)</f>
        <v>10</v>
      </c>
      <c r="C19" s="61" t="s">
        <v>467</v>
      </c>
      <c r="D19" s="50" t="s">
        <v>14</v>
      </c>
      <c r="E19" s="51" t="s">
        <v>121</v>
      </c>
      <c r="F19" s="50" t="s">
        <v>221</v>
      </c>
      <c r="G19" s="51" t="s">
        <v>284</v>
      </c>
      <c r="H19" s="50" t="s">
        <v>351</v>
      </c>
      <c r="I19" s="50" t="s">
        <v>484</v>
      </c>
      <c r="J19" s="50" t="s">
        <v>496</v>
      </c>
      <c r="K19" s="50" t="s">
        <v>410</v>
      </c>
      <c r="L19" s="51">
        <v>9</v>
      </c>
      <c r="M19" s="50">
        <f t="shared" si="1"/>
        <v>90</v>
      </c>
      <c r="N19" s="50">
        <v>100</v>
      </c>
      <c r="O19" s="63" t="s">
        <v>578</v>
      </c>
      <c r="P19" s="55">
        <v>3.0999999999999999E-3</v>
      </c>
      <c r="Q19" s="55">
        <f t="shared" si="2"/>
        <v>0.31</v>
      </c>
      <c r="R19" s="52"/>
      <c r="S19" s="53"/>
    </row>
    <row r="20" spans="1:19" ht="15.75" thickBot="1" x14ac:dyDescent="0.3">
      <c r="A20" s="1"/>
      <c r="B20" s="38">
        <f t="shared" si="0"/>
        <v>11</v>
      </c>
      <c r="C20" s="60" t="s">
        <v>467</v>
      </c>
      <c r="D20" s="46" t="s">
        <v>15</v>
      </c>
      <c r="E20" s="47" t="s">
        <v>122</v>
      </c>
      <c r="F20" s="46" t="s">
        <v>221</v>
      </c>
      <c r="G20" s="47" t="s">
        <v>285</v>
      </c>
      <c r="H20" s="46" t="s">
        <v>352</v>
      </c>
      <c r="I20" s="46" t="s">
        <v>484</v>
      </c>
      <c r="J20" s="46" t="s">
        <v>497</v>
      </c>
      <c r="K20" s="46" t="s">
        <v>411</v>
      </c>
      <c r="L20" s="47">
        <v>4</v>
      </c>
      <c r="M20" s="46">
        <f t="shared" si="1"/>
        <v>40</v>
      </c>
      <c r="N20" s="46">
        <v>50</v>
      </c>
      <c r="O20" s="62" t="s">
        <v>578</v>
      </c>
      <c r="P20" s="54">
        <v>7.4999999999999997E-3</v>
      </c>
      <c r="Q20" s="54">
        <f t="shared" si="2"/>
        <v>0.375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61" t="s">
        <v>467</v>
      </c>
      <c r="D21" s="50" t="s">
        <v>16</v>
      </c>
      <c r="E21" s="51" t="s">
        <v>123</v>
      </c>
      <c r="F21" s="50" t="s">
        <v>221</v>
      </c>
      <c r="G21" s="51" t="s">
        <v>286</v>
      </c>
      <c r="H21" s="50" t="s">
        <v>351</v>
      </c>
      <c r="I21" s="50" t="s">
        <v>484</v>
      </c>
      <c r="J21" s="50" t="s">
        <v>498</v>
      </c>
      <c r="K21" s="50" t="s">
        <v>412</v>
      </c>
      <c r="L21" s="51">
        <v>6</v>
      </c>
      <c r="M21" s="50">
        <f t="shared" si="1"/>
        <v>60</v>
      </c>
      <c r="N21" s="50">
        <v>100</v>
      </c>
      <c r="O21" s="63" t="s">
        <v>578</v>
      </c>
      <c r="P21" s="55">
        <v>2.8999999999999998E-3</v>
      </c>
      <c r="Q21" s="55">
        <f t="shared" si="2"/>
        <v>0.28999999999999998</v>
      </c>
      <c r="R21" s="52"/>
      <c r="S21" s="53"/>
    </row>
    <row r="22" spans="1:19" ht="15.75" thickBot="1" x14ac:dyDescent="0.3">
      <c r="A22" s="1"/>
      <c r="B22" s="38">
        <f>ROW(B22) - ROW($B$9)</f>
        <v>13</v>
      </c>
      <c r="C22" s="60" t="s">
        <v>467</v>
      </c>
      <c r="D22" s="46" t="s">
        <v>17</v>
      </c>
      <c r="E22" s="47" t="s">
        <v>124</v>
      </c>
      <c r="F22" s="46" t="s">
        <v>221</v>
      </c>
      <c r="G22" s="47" t="s">
        <v>287</v>
      </c>
      <c r="H22" s="46" t="s">
        <v>351</v>
      </c>
      <c r="I22" s="46" t="s">
        <v>484</v>
      </c>
      <c r="J22" s="46" t="s">
        <v>499</v>
      </c>
      <c r="K22" s="46" t="s">
        <v>413</v>
      </c>
      <c r="L22" s="47">
        <v>1</v>
      </c>
      <c r="M22" s="46">
        <f t="shared" si="1"/>
        <v>10</v>
      </c>
      <c r="N22" s="46">
        <v>50</v>
      </c>
      <c r="O22" s="62" t="s">
        <v>578</v>
      </c>
      <c r="P22" s="54">
        <v>1.3299999999999999E-2</v>
      </c>
      <c r="Q22" s="54">
        <f t="shared" si="2"/>
        <v>0.66499999999999992</v>
      </c>
      <c r="R22" s="48"/>
      <c r="S22" s="48"/>
    </row>
    <row r="23" spans="1:19" ht="24.75" thickBot="1" x14ac:dyDescent="0.3">
      <c r="A23" s="1"/>
      <c r="B23" s="38">
        <f t="shared" si="0"/>
        <v>14</v>
      </c>
      <c r="C23" s="61" t="s">
        <v>467</v>
      </c>
      <c r="D23" s="50" t="s">
        <v>18</v>
      </c>
      <c r="E23" s="51" t="s">
        <v>125</v>
      </c>
      <c r="F23" s="50" t="s">
        <v>221</v>
      </c>
      <c r="G23" s="51" t="s">
        <v>288</v>
      </c>
      <c r="H23" s="50" t="s">
        <v>351</v>
      </c>
      <c r="I23" s="50" t="s">
        <v>484</v>
      </c>
      <c r="J23" s="50" t="s">
        <v>500</v>
      </c>
      <c r="K23" s="50" t="s">
        <v>414</v>
      </c>
      <c r="L23" s="51">
        <v>2</v>
      </c>
      <c r="M23" s="50">
        <f t="shared" si="1"/>
        <v>20</v>
      </c>
      <c r="N23" s="50">
        <v>100</v>
      </c>
      <c r="O23" s="63" t="s">
        <v>578</v>
      </c>
      <c r="P23" s="55">
        <v>2.7000000000000001E-3</v>
      </c>
      <c r="Q23" s="55">
        <f t="shared" si="2"/>
        <v>0.27</v>
      </c>
      <c r="R23" s="52"/>
      <c r="S23" s="53"/>
    </row>
    <row r="24" spans="1:19" ht="24.75" thickBot="1" x14ac:dyDescent="0.3">
      <c r="A24" s="1"/>
      <c r="B24" s="38">
        <f>ROW(B24) - ROW($B$9)</f>
        <v>15</v>
      </c>
      <c r="C24" s="60" t="s">
        <v>467</v>
      </c>
      <c r="D24" s="46" t="s">
        <v>19</v>
      </c>
      <c r="E24" s="47" t="s">
        <v>126</v>
      </c>
      <c r="F24" s="46" t="s">
        <v>224</v>
      </c>
      <c r="G24" s="47" t="s">
        <v>289</v>
      </c>
      <c r="H24" s="46" t="s">
        <v>355</v>
      </c>
      <c r="I24" s="46" t="s">
        <v>484</v>
      </c>
      <c r="J24" s="46" t="s">
        <v>501</v>
      </c>
      <c r="K24" s="46" t="s">
        <v>405</v>
      </c>
      <c r="L24" s="47">
        <v>2</v>
      </c>
      <c r="M24" s="46">
        <f t="shared" si="1"/>
        <v>20</v>
      </c>
      <c r="N24" s="46">
        <v>50</v>
      </c>
      <c r="O24" s="62" t="s">
        <v>578</v>
      </c>
      <c r="P24" s="54">
        <v>1.4999999999999999E-2</v>
      </c>
      <c r="Q24" s="54">
        <f t="shared" si="2"/>
        <v>0.75</v>
      </c>
      <c r="R24" s="48"/>
      <c r="S24" s="48"/>
    </row>
    <row r="25" spans="1:19" ht="24.75" thickBot="1" x14ac:dyDescent="0.3">
      <c r="A25" s="1"/>
      <c r="B25" s="38">
        <f t="shared" ref="B25" si="3">ROW(B25) - ROW($B$9)</f>
        <v>16</v>
      </c>
      <c r="C25" s="61" t="s">
        <v>467</v>
      </c>
      <c r="D25" s="50" t="s">
        <v>581</v>
      </c>
      <c r="E25" s="51" t="s">
        <v>617</v>
      </c>
      <c r="F25" s="50" t="s">
        <v>224</v>
      </c>
      <c r="G25" s="65" t="s">
        <v>618</v>
      </c>
      <c r="H25" s="50" t="s">
        <v>354</v>
      </c>
      <c r="I25" s="50" t="s">
        <v>619</v>
      </c>
      <c r="J25" s="50" t="s">
        <v>620</v>
      </c>
      <c r="K25" s="50" t="s">
        <v>406</v>
      </c>
      <c r="L25" s="51">
        <v>10</v>
      </c>
      <c r="M25" s="50">
        <f t="shared" si="1"/>
        <v>100</v>
      </c>
      <c r="N25" s="50">
        <v>150</v>
      </c>
      <c r="O25" s="63" t="s">
        <v>578</v>
      </c>
      <c r="P25" s="55">
        <v>7.0000000000000001E-3</v>
      </c>
      <c r="Q25" s="55">
        <f t="shared" si="2"/>
        <v>1.05</v>
      </c>
      <c r="R25" s="52"/>
      <c r="S25" s="53"/>
    </row>
    <row r="26" spans="1:19" ht="15.75" thickBot="1" x14ac:dyDescent="0.3">
      <c r="A26" s="1"/>
      <c r="B26" s="38">
        <f>ROW(B26) - ROW($B$9)</f>
        <v>17</v>
      </c>
      <c r="C26" s="60" t="s">
        <v>467</v>
      </c>
      <c r="D26" s="46" t="s">
        <v>20</v>
      </c>
      <c r="E26" s="47" t="s">
        <v>127</v>
      </c>
      <c r="F26" s="46" t="s">
        <v>221</v>
      </c>
      <c r="G26" s="47" t="s">
        <v>290</v>
      </c>
      <c r="H26" s="46" t="s">
        <v>351</v>
      </c>
      <c r="I26" s="46" t="s">
        <v>484</v>
      </c>
      <c r="J26" s="46" t="s">
        <v>502</v>
      </c>
      <c r="K26" s="46" t="s">
        <v>415</v>
      </c>
      <c r="L26" s="47">
        <v>4</v>
      </c>
      <c r="M26" s="46">
        <f t="shared" si="1"/>
        <v>40</v>
      </c>
      <c r="N26" s="46">
        <v>100</v>
      </c>
      <c r="O26" s="62" t="s">
        <v>578</v>
      </c>
      <c r="P26" s="54">
        <v>2.8E-3</v>
      </c>
      <c r="Q26" s="54">
        <f t="shared" si="2"/>
        <v>0.27999999999999997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61" t="s">
        <v>468</v>
      </c>
      <c r="D27" s="50" t="s">
        <v>21</v>
      </c>
      <c r="E27" s="51" t="s">
        <v>128</v>
      </c>
      <c r="F27" s="50" t="s">
        <v>225</v>
      </c>
      <c r="G27" s="51" t="s">
        <v>291</v>
      </c>
      <c r="H27" s="50" t="s">
        <v>356</v>
      </c>
      <c r="I27" s="50" t="s">
        <v>484</v>
      </c>
      <c r="J27" s="50" t="s">
        <v>606</v>
      </c>
      <c r="K27" s="50" t="s">
        <v>484</v>
      </c>
      <c r="L27" s="51">
        <v>8</v>
      </c>
      <c r="M27" s="50">
        <f t="shared" si="1"/>
        <v>80</v>
      </c>
      <c r="N27" s="50">
        <v>100</v>
      </c>
      <c r="O27" s="63" t="s">
        <v>578</v>
      </c>
      <c r="P27" s="55">
        <v>2.0199999999999999E-2</v>
      </c>
      <c r="Q27" s="55">
        <f t="shared" si="2"/>
        <v>2.02</v>
      </c>
      <c r="R27" s="52"/>
      <c r="S27" s="53"/>
    </row>
    <row r="28" spans="1:19" ht="24.75" thickBot="1" x14ac:dyDescent="0.3">
      <c r="A28" s="1"/>
      <c r="B28" s="38">
        <f>ROW(B28) - ROW($B$9)</f>
        <v>19</v>
      </c>
      <c r="C28" s="60" t="s">
        <v>468</v>
      </c>
      <c r="D28" s="46" t="s">
        <v>22</v>
      </c>
      <c r="E28" s="47" t="s">
        <v>129</v>
      </c>
      <c r="F28" s="46" t="s">
        <v>226</v>
      </c>
      <c r="G28" s="47" t="s">
        <v>292</v>
      </c>
      <c r="H28" s="46" t="s">
        <v>357</v>
      </c>
      <c r="I28" s="46" t="s">
        <v>484</v>
      </c>
      <c r="J28" s="46" t="s">
        <v>503</v>
      </c>
      <c r="K28" s="46" t="s">
        <v>484</v>
      </c>
      <c r="L28" s="47">
        <v>6</v>
      </c>
      <c r="M28" s="46">
        <f t="shared" si="1"/>
        <v>60</v>
      </c>
      <c r="N28" s="46">
        <v>100</v>
      </c>
      <c r="O28" s="62" t="s">
        <v>578</v>
      </c>
      <c r="P28" s="54">
        <v>1.95E-2</v>
      </c>
      <c r="Q28" s="54">
        <f t="shared" si="2"/>
        <v>1.95</v>
      </c>
      <c r="R28" s="48"/>
      <c r="S28" s="48"/>
    </row>
    <row r="29" spans="1:19" ht="24.75" thickBot="1" x14ac:dyDescent="0.3">
      <c r="A29" s="1"/>
      <c r="B29" s="38">
        <f t="shared" si="0"/>
        <v>20</v>
      </c>
      <c r="C29" s="61" t="s">
        <v>468</v>
      </c>
      <c r="D29" s="50" t="s">
        <v>23</v>
      </c>
      <c r="E29" s="51" t="s">
        <v>130</v>
      </c>
      <c r="F29" s="50" t="s">
        <v>227</v>
      </c>
      <c r="G29" s="51" t="s">
        <v>293</v>
      </c>
      <c r="H29" s="50" t="s">
        <v>358</v>
      </c>
      <c r="I29" s="50" t="s">
        <v>484</v>
      </c>
      <c r="J29" s="50" t="s">
        <v>504</v>
      </c>
      <c r="K29" s="50" t="s">
        <v>484</v>
      </c>
      <c r="L29" s="51">
        <v>3</v>
      </c>
      <c r="M29" s="50">
        <f t="shared" si="1"/>
        <v>30</v>
      </c>
      <c r="N29" s="50">
        <v>40</v>
      </c>
      <c r="O29" s="63" t="s">
        <v>578</v>
      </c>
      <c r="P29" s="55">
        <v>4.7699999999999999E-2</v>
      </c>
      <c r="Q29" s="55">
        <f t="shared" si="2"/>
        <v>1.9079999999999999</v>
      </c>
      <c r="R29" s="52"/>
      <c r="S29" s="53"/>
    </row>
    <row r="30" spans="1:19" ht="24.75" thickBot="1" x14ac:dyDescent="0.3">
      <c r="A30" s="1"/>
      <c r="B30" s="38">
        <f>ROW(B30) - ROW($B$9)</f>
        <v>21</v>
      </c>
      <c r="C30" s="60" t="s">
        <v>468</v>
      </c>
      <c r="D30" s="46" t="s">
        <v>24</v>
      </c>
      <c r="E30" s="47" t="s">
        <v>131</v>
      </c>
      <c r="F30" s="46" t="s">
        <v>226</v>
      </c>
      <c r="G30" s="47" t="s">
        <v>294</v>
      </c>
      <c r="H30" s="46" t="s">
        <v>359</v>
      </c>
      <c r="I30" s="46" t="s">
        <v>484</v>
      </c>
      <c r="J30" s="46" t="s">
        <v>505</v>
      </c>
      <c r="K30" s="46" t="s">
        <v>484</v>
      </c>
      <c r="L30" s="47">
        <v>8</v>
      </c>
      <c r="M30" s="46">
        <f t="shared" si="1"/>
        <v>80</v>
      </c>
      <c r="N30" s="46">
        <v>100</v>
      </c>
      <c r="O30" s="62" t="s">
        <v>578</v>
      </c>
      <c r="P30" s="54">
        <v>2.92E-2</v>
      </c>
      <c r="Q30" s="54">
        <f t="shared" si="2"/>
        <v>2.92</v>
      </c>
      <c r="R30" s="48"/>
      <c r="S30" s="48"/>
    </row>
    <row r="31" spans="1:19" ht="24.75" thickBot="1" x14ac:dyDescent="0.3">
      <c r="A31" s="1"/>
      <c r="B31" s="38">
        <f t="shared" si="0"/>
        <v>22</v>
      </c>
      <c r="C31" s="61" t="s">
        <v>468</v>
      </c>
      <c r="D31" s="50" t="s">
        <v>25</v>
      </c>
      <c r="E31" s="51" t="s">
        <v>132</v>
      </c>
      <c r="F31" s="50" t="s">
        <v>228</v>
      </c>
      <c r="G31" s="51" t="s">
        <v>295</v>
      </c>
      <c r="H31" s="50" t="s">
        <v>357</v>
      </c>
      <c r="I31" s="50" t="s">
        <v>484</v>
      </c>
      <c r="J31" s="50" t="s">
        <v>506</v>
      </c>
      <c r="K31" s="50" t="s">
        <v>484</v>
      </c>
      <c r="L31" s="51">
        <v>5</v>
      </c>
      <c r="M31" s="50">
        <f t="shared" si="1"/>
        <v>50</v>
      </c>
      <c r="N31" s="50">
        <v>55</v>
      </c>
      <c r="O31" s="63" t="s">
        <v>578</v>
      </c>
      <c r="P31" s="55">
        <v>0.11609999999999999</v>
      </c>
      <c r="Q31" s="55">
        <f t="shared" si="2"/>
        <v>6.3854999999999995</v>
      </c>
      <c r="R31" s="52"/>
      <c r="S31" s="53"/>
    </row>
    <row r="32" spans="1:19" ht="15.75" thickBot="1" x14ac:dyDescent="0.3">
      <c r="A32" s="1" t="s">
        <v>626</v>
      </c>
      <c r="B32" s="38">
        <f>ROW(B32) - ROW($B$9)</f>
        <v>23</v>
      </c>
      <c r="C32" s="60" t="s">
        <v>468</v>
      </c>
      <c r="D32" s="46" t="s">
        <v>26</v>
      </c>
      <c r="E32" s="47" t="s">
        <v>133</v>
      </c>
      <c r="F32" s="46" t="s">
        <v>229</v>
      </c>
      <c r="G32" s="47" t="s">
        <v>296</v>
      </c>
      <c r="H32" s="46" t="s">
        <v>359</v>
      </c>
      <c r="I32" s="46" t="s">
        <v>484</v>
      </c>
      <c r="J32" s="46" t="s">
        <v>507</v>
      </c>
      <c r="K32" s="46" t="s">
        <v>484</v>
      </c>
      <c r="L32" s="47">
        <v>3</v>
      </c>
      <c r="M32" s="46">
        <f t="shared" si="1"/>
        <v>30</v>
      </c>
      <c r="N32" s="46">
        <v>35</v>
      </c>
      <c r="O32" s="62" t="s">
        <v>578</v>
      </c>
      <c r="P32" s="54">
        <v>8.3599999999999994E-2</v>
      </c>
      <c r="Q32" s="54">
        <f t="shared" si="2"/>
        <v>2.9259999999999997</v>
      </c>
      <c r="R32" s="48"/>
      <c r="S32" s="48"/>
    </row>
    <row r="33" spans="1:19" ht="24.75" thickBot="1" x14ac:dyDescent="0.3">
      <c r="A33" s="1"/>
      <c r="B33" s="38">
        <f t="shared" si="0"/>
        <v>24</v>
      </c>
      <c r="C33" s="61" t="s">
        <v>468</v>
      </c>
      <c r="D33" s="50" t="s">
        <v>27</v>
      </c>
      <c r="E33" s="51" t="s">
        <v>134</v>
      </c>
      <c r="F33" s="50" t="s">
        <v>230</v>
      </c>
      <c r="G33" s="51" t="s">
        <v>297</v>
      </c>
      <c r="H33" s="50" t="s">
        <v>360</v>
      </c>
      <c r="I33" s="50" t="s">
        <v>484</v>
      </c>
      <c r="J33" s="50" t="s">
        <v>508</v>
      </c>
      <c r="K33" s="50" t="s">
        <v>484</v>
      </c>
      <c r="L33" s="51">
        <v>1</v>
      </c>
      <c r="M33" s="50">
        <f t="shared" si="1"/>
        <v>10</v>
      </c>
      <c r="N33" s="50">
        <v>12</v>
      </c>
      <c r="O33" s="63" t="s">
        <v>578</v>
      </c>
      <c r="P33" s="55">
        <v>0.31850000000000001</v>
      </c>
      <c r="Q33" s="55">
        <f t="shared" si="2"/>
        <v>3.8220000000000001</v>
      </c>
      <c r="R33" s="52"/>
      <c r="S33" s="53"/>
    </row>
    <row r="34" spans="1:19" ht="24.75" thickBot="1" x14ac:dyDescent="0.3">
      <c r="A34" s="1"/>
      <c r="B34" s="38">
        <f>ROW(B34) - ROW($B$9)</f>
        <v>25</v>
      </c>
      <c r="C34" s="60" t="s">
        <v>468</v>
      </c>
      <c r="D34" s="46" t="s">
        <v>483</v>
      </c>
      <c r="E34" s="47" t="s">
        <v>135</v>
      </c>
      <c r="F34" s="46" t="s">
        <v>226</v>
      </c>
      <c r="G34" s="47" t="s">
        <v>298</v>
      </c>
      <c r="H34" s="46" t="s">
        <v>359</v>
      </c>
      <c r="I34" s="46" t="s">
        <v>484</v>
      </c>
      <c r="J34" s="46" t="s">
        <v>509</v>
      </c>
      <c r="K34" s="46" t="s">
        <v>484</v>
      </c>
      <c r="L34" s="47">
        <v>1</v>
      </c>
      <c r="M34" s="46">
        <f t="shared" si="1"/>
        <v>10</v>
      </c>
      <c r="N34" s="46">
        <v>20</v>
      </c>
      <c r="O34" s="62" t="s">
        <v>578</v>
      </c>
      <c r="P34" s="54">
        <v>3.6200000000000003E-2</v>
      </c>
      <c r="Q34" s="54">
        <f t="shared" si="2"/>
        <v>0.72400000000000009</v>
      </c>
      <c r="R34" s="48"/>
      <c r="S34" s="48"/>
    </row>
    <row r="35" spans="1:19" ht="24.75" thickBot="1" x14ac:dyDescent="0.3">
      <c r="A35" s="1"/>
      <c r="B35" s="38">
        <f>ROW(B35) - ROW($B$9)</f>
        <v>26</v>
      </c>
      <c r="C35" s="61" t="s">
        <v>469</v>
      </c>
      <c r="D35" s="50" t="s">
        <v>28</v>
      </c>
      <c r="E35" s="51" t="s">
        <v>136</v>
      </c>
      <c r="F35" s="50" t="s">
        <v>231</v>
      </c>
      <c r="G35" s="51" t="s">
        <v>299</v>
      </c>
      <c r="H35" s="50" t="s">
        <v>361</v>
      </c>
      <c r="I35" s="50" t="s">
        <v>484</v>
      </c>
      <c r="J35" s="50" t="s">
        <v>510</v>
      </c>
      <c r="K35" s="50" t="s">
        <v>484</v>
      </c>
      <c r="L35" s="51">
        <v>1</v>
      </c>
      <c r="M35" s="50">
        <f t="shared" si="1"/>
        <v>10</v>
      </c>
      <c r="N35" s="50">
        <v>20</v>
      </c>
      <c r="O35" s="63" t="s">
        <v>578</v>
      </c>
      <c r="P35" s="55">
        <v>4.9000000000000002E-2</v>
      </c>
      <c r="Q35" s="55">
        <f t="shared" si="2"/>
        <v>0.98</v>
      </c>
      <c r="R35" s="52"/>
      <c r="S35" s="53"/>
    </row>
    <row r="36" spans="1:19" ht="15.75" thickBot="1" x14ac:dyDescent="0.3">
      <c r="A36" s="1"/>
      <c r="B36" s="38">
        <f t="shared" si="0"/>
        <v>27</v>
      </c>
      <c r="C36" s="60" t="s">
        <v>470</v>
      </c>
      <c r="D36" s="46" t="s">
        <v>29</v>
      </c>
      <c r="E36" s="47" t="s">
        <v>137</v>
      </c>
      <c r="F36" s="46" t="s">
        <v>486</v>
      </c>
      <c r="G36" s="47" t="s">
        <v>232</v>
      </c>
      <c r="H36" s="46" t="s">
        <v>353</v>
      </c>
      <c r="I36" s="46" t="s">
        <v>484</v>
      </c>
      <c r="J36" s="46" t="s">
        <v>511</v>
      </c>
      <c r="K36" s="46" t="s">
        <v>484</v>
      </c>
      <c r="L36" s="47">
        <v>1</v>
      </c>
      <c r="M36" s="46">
        <f t="shared" si="1"/>
        <v>10</v>
      </c>
      <c r="N36" s="46">
        <v>20</v>
      </c>
      <c r="O36" s="62" t="s">
        <v>578</v>
      </c>
      <c r="P36" s="54">
        <v>2.8199999999999999E-2</v>
      </c>
      <c r="Q36" s="54">
        <f t="shared" si="2"/>
        <v>0.56399999999999995</v>
      </c>
      <c r="R36" s="48"/>
      <c r="S36" s="48"/>
    </row>
    <row r="37" spans="1:19" ht="15.75" thickBot="1" x14ac:dyDescent="0.3">
      <c r="A37" s="1"/>
      <c r="B37" s="38">
        <f>ROW(B37) - ROW($B$9)</f>
        <v>28</v>
      </c>
      <c r="C37" s="61" t="s">
        <v>471</v>
      </c>
      <c r="D37" s="50" t="s">
        <v>30</v>
      </c>
      <c r="E37" s="51" t="s">
        <v>138</v>
      </c>
      <c r="F37" s="50" t="s">
        <v>486</v>
      </c>
      <c r="G37" s="51" t="s">
        <v>233</v>
      </c>
      <c r="H37" s="50" t="s">
        <v>362</v>
      </c>
      <c r="I37" s="50" t="s">
        <v>484</v>
      </c>
      <c r="J37" s="50" t="s">
        <v>512</v>
      </c>
      <c r="K37" s="50" t="s">
        <v>484</v>
      </c>
      <c r="L37" s="51">
        <v>1</v>
      </c>
      <c r="M37" s="50">
        <f t="shared" si="1"/>
        <v>10</v>
      </c>
      <c r="N37" s="50">
        <v>12</v>
      </c>
      <c r="O37" s="63" t="s">
        <v>578</v>
      </c>
      <c r="P37" s="55">
        <v>0.57669999999999999</v>
      </c>
      <c r="Q37" s="55">
        <f t="shared" si="2"/>
        <v>6.9203999999999999</v>
      </c>
      <c r="R37" s="52"/>
      <c r="S37" s="53"/>
    </row>
    <row r="38" spans="1:19" ht="15.75" thickBot="1" x14ac:dyDescent="0.3">
      <c r="A38" s="1"/>
      <c r="B38" s="38">
        <f t="shared" si="0"/>
        <v>29</v>
      </c>
      <c r="C38" s="60" t="s">
        <v>471</v>
      </c>
      <c r="D38" s="46" t="s">
        <v>31</v>
      </c>
      <c r="E38" s="47" t="s">
        <v>139</v>
      </c>
      <c r="F38" s="46" t="s">
        <v>486</v>
      </c>
      <c r="G38" s="64">
        <v>61400416021</v>
      </c>
      <c r="H38" s="46" t="s">
        <v>363</v>
      </c>
      <c r="I38" s="46" t="s">
        <v>608</v>
      </c>
      <c r="J38" s="46" t="s">
        <v>609</v>
      </c>
      <c r="K38" s="46" t="s">
        <v>484</v>
      </c>
      <c r="L38" s="47">
        <v>1</v>
      </c>
      <c r="M38" s="46">
        <f t="shared" si="1"/>
        <v>10</v>
      </c>
      <c r="N38" s="46">
        <v>11</v>
      </c>
      <c r="O38" s="62" t="s">
        <v>578</v>
      </c>
      <c r="P38" s="54">
        <v>0.13469999999999999</v>
      </c>
      <c r="Q38" s="54">
        <f t="shared" si="2"/>
        <v>1.4816999999999998</v>
      </c>
      <c r="R38" s="48"/>
      <c r="S38" s="48"/>
    </row>
    <row r="39" spans="1:19" ht="36.75" thickBot="1" x14ac:dyDescent="0.3">
      <c r="A39" s="1"/>
      <c r="B39" s="38">
        <f>ROW(B39) - ROW($B$9)</f>
        <v>30</v>
      </c>
      <c r="C39" s="61" t="s">
        <v>471</v>
      </c>
      <c r="D39" s="50" t="s">
        <v>32</v>
      </c>
      <c r="E39" s="51" t="s">
        <v>140</v>
      </c>
      <c r="F39" s="50" t="s">
        <v>486</v>
      </c>
      <c r="G39" s="51" t="s">
        <v>234</v>
      </c>
      <c r="H39" s="50" t="s">
        <v>364</v>
      </c>
      <c r="I39" s="50" t="s">
        <v>484</v>
      </c>
      <c r="J39" s="50" t="s">
        <v>513</v>
      </c>
      <c r="K39" s="50" t="s">
        <v>484</v>
      </c>
      <c r="L39" s="51">
        <v>1</v>
      </c>
      <c r="M39" s="50">
        <f t="shared" si="1"/>
        <v>10</v>
      </c>
      <c r="N39" s="50">
        <v>12</v>
      </c>
      <c r="O39" s="63" t="s">
        <v>578</v>
      </c>
      <c r="P39" s="55">
        <v>0.13569999999999999</v>
      </c>
      <c r="Q39" s="55">
        <f t="shared" si="2"/>
        <v>1.6283999999999998</v>
      </c>
      <c r="R39" s="52"/>
      <c r="S39" s="53"/>
    </row>
    <row r="40" spans="1:19" ht="15.75" thickBot="1" x14ac:dyDescent="0.3">
      <c r="A40" s="1"/>
      <c r="B40" s="38">
        <f t="shared" si="0"/>
        <v>31</v>
      </c>
      <c r="C40" s="60" t="s">
        <v>471</v>
      </c>
      <c r="D40" s="46" t="s">
        <v>33</v>
      </c>
      <c r="E40" s="47" t="s">
        <v>141</v>
      </c>
      <c r="F40" s="46" t="s">
        <v>486</v>
      </c>
      <c r="G40" s="47" t="s">
        <v>235</v>
      </c>
      <c r="H40" s="46" t="s">
        <v>365</v>
      </c>
      <c r="I40" s="46" t="s">
        <v>484</v>
      </c>
      <c r="J40" s="46" t="s">
        <v>514</v>
      </c>
      <c r="K40" s="46" t="s">
        <v>484</v>
      </c>
      <c r="L40" s="47">
        <v>1</v>
      </c>
      <c r="M40" s="46">
        <f t="shared" si="1"/>
        <v>10</v>
      </c>
      <c r="N40" s="46">
        <v>11</v>
      </c>
      <c r="O40" s="62" t="s">
        <v>578</v>
      </c>
      <c r="P40" s="54">
        <v>1.7351000000000001</v>
      </c>
      <c r="Q40" s="54">
        <f t="shared" si="2"/>
        <v>19.086100000000002</v>
      </c>
      <c r="R40" s="48"/>
      <c r="S40" s="48"/>
    </row>
    <row r="41" spans="1:19" ht="15.75" thickBot="1" x14ac:dyDescent="0.3">
      <c r="A41" s="1"/>
      <c r="B41" s="38">
        <f>ROW(B41) - ROW($B$9)</f>
        <v>32</v>
      </c>
      <c r="C41" s="61" t="s">
        <v>471</v>
      </c>
      <c r="D41" s="50" t="s">
        <v>34</v>
      </c>
      <c r="E41" s="51" t="s">
        <v>142</v>
      </c>
      <c r="F41" s="50" t="s">
        <v>486</v>
      </c>
      <c r="G41" s="51" t="s">
        <v>236</v>
      </c>
      <c r="H41" s="50" t="s">
        <v>366</v>
      </c>
      <c r="I41" s="50" t="s">
        <v>484</v>
      </c>
      <c r="J41" s="50" t="s">
        <v>515</v>
      </c>
      <c r="K41" s="50" t="s">
        <v>484</v>
      </c>
      <c r="L41" s="51">
        <v>1</v>
      </c>
      <c r="M41" s="50">
        <f t="shared" si="1"/>
        <v>10</v>
      </c>
      <c r="N41" s="50">
        <v>12</v>
      </c>
      <c r="O41" s="63" t="s">
        <v>578</v>
      </c>
      <c r="P41" s="55">
        <v>0.42870000000000003</v>
      </c>
      <c r="Q41" s="55">
        <f t="shared" si="2"/>
        <v>5.1444000000000001</v>
      </c>
      <c r="R41" s="52"/>
      <c r="S41" s="53"/>
    </row>
    <row r="42" spans="1:19" ht="15.75" thickBot="1" x14ac:dyDescent="0.3">
      <c r="A42" s="1"/>
      <c r="B42" s="38">
        <f t="shared" si="0"/>
        <v>33</v>
      </c>
      <c r="C42" s="60" t="s">
        <v>471</v>
      </c>
      <c r="D42" s="46" t="s">
        <v>35</v>
      </c>
      <c r="E42" s="47" t="s">
        <v>143</v>
      </c>
      <c r="F42" s="46" t="s">
        <v>486</v>
      </c>
      <c r="G42" s="47" t="s">
        <v>237</v>
      </c>
      <c r="H42" s="46" t="s">
        <v>367</v>
      </c>
      <c r="I42" s="46" t="s">
        <v>484</v>
      </c>
      <c r="J42" s="46" t="s">
        <v>516</v>
      </c>
      <c r="K42" s="46" t="s">
        <v>484</v>
      </c>
      <c r="L42" s="47">
        <v>2</v>
      </c>
      <c r="M42" s="46">
        <f t="shared" si="1"/>
        <v>20</v>
      </c>
      <c r="N42" s="46">
        <v>25</v>
      </c>
      <c r="O42" s="62" t="s">
        <v>578</v>
      </c>
      <c r="P42" s="54">
        <v>8.7499999999999994E-2</v>
      </c>
      <c r="Q42" s="54">
        <f t="shared" si="2"/>
        <v>2.1875</v>
      </c>
      <c r="R42" s="48"/>
      <c r="S42" s="48"/>
    </row>
    <row r="43" spans="1:19" ht="48.75" thickBot="1" x14ac:dyDescent="0.3">
      <c r="A43" s="1"/>
      <c r="B43" s="38">
        <f>ROW(B43) - ROW($B$9)</f>
        <v>34</v>
      </c>
      <c r="C43" s="61" t="s">
        <v>472</v>
      </c>
      <c r="D43" s="50" t="s">
        <v>36</v>
      </c>
      <c r="E43" s="51" t="s">
        <v>144</v>
      </c>
      <c r="F43" s="50" t="s">
        <v>238</v>
      </c>
      <c r="G43" s="51" t="s">
        <v>300</v>
      </c>
      <c r="H43" s="50" t="s">
        <v>368</v>
      </c>
      <c r="I43" s="50" t="s">
        <v>484</v>
      </c>
      <c r="J43" s="50" t="s">
        <v>517</v>
      </c>
      <c r="K43" s="50" t="s">
        <v>484</v>
      </c>
      <c r="L43" s="51">
        <v>1</v>
      </c>
      <c r="M43" s="50">
        <f t="shared" si="1"/>
        <v>10</v>
      </c>
      <c r="N43" s="50">
        <v>20</v>
      </c>
      <c r="O43" s="63" t="s">
        <v>578</v>
      </c>
      <c r="P43" s="55">
        <v>4.4699999999999997E-2</v>
      </c>
      <c r="Q43" s="55">
        <f t="shared" si="2"/>
        <v>0.89399999999999991</v>
      </c>
      <c r="R43" s="52"/>
      <c r="S43" s="53"/>
    </row>
    <row r="44" spans="1:19" ht="36.75" thickBot="1" x14ac:dyDescent="0.3">
      <c r="A44" s="1"/>
      <c r="B44" s="38">
        <f t="shared" si="0"/>
        <v>35</v>
      </c>
      <c r="C44" s="60" t="s">
        <v>471</v>
      </c>
      <c r="D44" s="46" t="s">
        <v>37</v>
      </c>
      <c r="E44" s="47" t="s">
        <v>145</v>
      </c>
      <c r="F44" s="46" t="s">
        <v>486</v>
      </c>
      <c r="G44" s="47" t="s">
        <v>301</v>
      </c>
      <c r="H44" s="46" t="s">
        <v>362</v>
      </c>
      <c r="I44" s="46" t="s">
        <v>484</v>
      </c>
      <c r="J44" s="46" t="s">
        <v>518</v>
      </c>
      <c r="K44" s="46" t="s">
        <v>484</v>
      </c>
      <c r="L44" s="47">
        <v>1</v>
      </c>
      <c r="M44" s="46">
        <f t="shared" si="1"/>
        <v>10</v>
      </c>
      <c r="N44" s="46">
        <v>12</v>
      </c>
      <c r="O44" s="62" t="s">
        <v>578</v>
      </c>
      <c r="P44" s="54">
        <v>0.30130000000000001</v>
      </c>
      <c r="Q44" s="54">
        <f t="shared" si="2"/>
        <v>3.6156000000000001</v>
      </c>
      <c r="R44" s="48"/>
      <c r="S44" s="48"/>
    </row>
    <row r="45" spans="1:19" ht="36.75" thickBot="1" x14ac:dyDescent="0.3">
      <c r="A45" s="1"/>
      <c r="B45" s="38">
        <f>ROW(B45) - ROW($B$9)</f>
        <v>36</v>
      </c>
      <c r="C45" s="61" t="s">
        <v>471</v>
      </c>
      <c r="D45" s="50" t="s">
        <v>38</v>
      </c>
      <c r="E45" s="51" t="s">
        <v>146</v>
      </c>
      <c r="F45" s="50" t="s">
        <v>486</v>
      </c>
      <c r="G45" s="51" t="s">
        <v>239</v>
      </c>
      <c r="H45" s="50" t="s">
        <v>364</v>
      </c>
      <c r="I45" s="50" t="s">
        <v>484</v>
      </c>
      <c r="J45" s="50" t="s">
        <v>519</v>
      </c>
      <c r="K45" s="50" t="s">
        <v>484</v>
      </c>
      <c r="L45" s="51">
        <v>1</v>
      </c>
      <c r="M45" s="50">
        <f t="shared" si="1"/>
        <v>10</v>
      </c>
      <c r="N45" s="50">
        <v>12</v>
      </c>
      <c r="O45" s="63" t="s">
        <v>578</v>
      </c>
      <c r="P45" s="55">
        <v>0.66449999999999998</v>
      </c>
      <c r="Q45" s="55">
        <f t="shared" si="2"/>
        <v>7.9740000000000002</v>
      </c>
      <c r="R45" s="52"/>
      <c r="S45" s="53"/>
    </row>
    <row r="46" spans="1:19" ht="24.75" thickBot="1" x14ac:dyDescent="0.3">
      <c r="A46" s="1"/>
      <c r="B46" s="38">
        <f t="shared" si="0"/>
        <v>37</v>
      </c>
      <c r="C46" s="60" t="s">
        <v>471</v>
      </c>
      <c r="D46" s="46" t="s">
        <v>39</v>
      </c>
      <c r="E46" s="47" t="s">
        <v>147</v>
      </c>
      <c r="F46" s="46" t="s">
        <v>486</v>
      </c>
      <c r="G46" s="47" t="s">
        <v>240</v>
      </c>
      <c r="H46" s="46" t="s">
        <v>369</v>
      </c>
      <c r="I46" s="46" t="s">
        <v>484</v>
      </c>
      <c r="J46" s="46" t="s">
        <v>520</v>
      </c>
      <c r="K46" s="46" t="s">
        <v>484</v>
      </c>
      <c r="L46" s="47">
        <v>1</v>
      </c>
      <c r="M46" s="46">
        <f t="shared" si="1"/>
        <v>10</v>
      </c>
      <c r="N46" s="46">
        <v>12</v>
      </c>
      <c r="O46" s="62" t="s">
        <v>578</v>
      </c>
      <c r="P46" s="54">
        <v>0.1704</v>
      </c>
      <c r="Q46" s="54">
        <f t="shared" si="2"/>
        <v>2.0448</v>
      </c>
      <c r="R46" s="48"/>
      <c r="S46" s="48"/>
    </row>
    <row r="47" spans="1:19" ht="24.75" thickBot="1" x14ac:dyDescent="0.3">
      <c r="A47" s="1"/>
      <c r="B47" s="38">
        <f>ROW(B47) - ROW($B$9)</f>
        <v>38</v>
      </c>
      <c r="C47" s="61" t="s">
        <v>472</v>
      </c>
      <c r="D47" s="50" t="s">
        <v>40</v>
      </c>
      <c r="E47" s="51" t="s">
        <v>148</v>
      </c>
      <c r="F47" s="50" t="s">
        <v>486</v>
      </c>
      <c r="G47" s="51" t="s">
        <v>241</v>
      </c>
      <c r="H47" s="50" t="s">
        <v>370</v>
      </c>
      <c r="I47" s="50" t="s">
        <v>484</v>
      </c>
      <c r="J47" s="50" t="s">
        <v>521</v>
      </c>
      <c r="K47" s="50" t="s">
        <v>484</v>
      </c>
      <c r="L47" s="51">
        <v>1</v>
      </c>
      <c r="M47" s="50">
        <f t="shared" si="1"/>
        <v>10</v>
      </c>
      <c r="N47" s="50">
        <v>20</v>
      </c>
      <c r="O47" s="63" t="s">
        <v>578</v>
      </c>
      <c r="P47" s="55">
        <v>5.1499999999999997E-2</v>
      </c>
      <c r="Q47" s="55">
        <f t="shared" si="2"/>
        <v>1.03</v>
      </c>
      <c r="R47" s="52"/>
      <c r="S47" s="53"/>
    </row>
    <row r="48" spans="1:19" ht="24.75" thickBot="1" x14ac:dyDescent="0.3">
      <c r="A48" s="1"/>
      <c r="B48" s="38">
        <f t="shared" si="0"/>
        <v>39</v>
      </c>
      <c r="C48" s="60" t="s">
        <v>476</v>
      </c>
      <c r="D48" s="46" t="s">
        <v>41</v>
      </c>
      <c r="E48" s="47" t="s">
        <v>149</v>
      </c>
      <c r="F48" s="46" t="s">
        <v>486</v>
      </c>
      <c r="G48" s="47" t="s">
        <v>242</v>
      </c>
      <c r="H48" s="46" t="s">
        <v>371</v>
      </c>
      <c r="I48" s="46" t="s">
        <v>484</v>
      </c>
      <c r="J48" s="46" t="s">
        <v>522</v>
      </c>
      <c r="K48" s="46" t="s">
        <v>416</v>
      </c>
      <c r="L48" s="47">
        <v>2</v>
      </c>
      <c r="M48" s="46">
        <f t="shared" si="1"/>
        <v>20</v>
      </c>
      <c r="N48" s="46">
        <v>30</v>
      </c>
      <c r="O48" s="62" t="s">
        <v>578</v>
      </c>
      <c r="P48" s="54">
        <v>6.0900000000000003E-2</v>
      </c>
      <c r="Q48" s="54">
        <f t="shared" si="2"/>
        <v>1.8270000000000002</v>
      </c>
      <c r="R48" s="48"/>
      <c r="S48" s="48"/>
    </row>
    <row r="49" spans="1:19" ht="36.75" thickBot="1" x14ac:dyDescent="0.3">
      <c r="A49" s="1"/>
      <c r="B49" s="38">
        <f>ROW(B49) - ROW($B$9)</f>
        <v>40</v>
      </c>
      <c r="C49" s="61" t="s">
        <v>476</v>
      </c>
      <c r="D49" s="50" t="s">
        <v>42</v>
      </c>
      <c r="E49" s="51" t="s">
        <v>150</v>
      </c>
      <c r="F49" s="50" t="s">
        <v>486</v>
      </c>
      <c r="G49" s="51" t="s">
        <v>243</v>
      </c>
      <c r="H49" s="50" t="s">
        <v>372</v>
      </c>
      <c r="I49" s="50" t="s">
        <v>484</v>
      </c>
      <c r="J49" s="50" t="s">
        <v>523</v>
      </c>
      <c r="K49" s="50" t="s">
        <v>417</v>
      </c>
      <c r="L49" s="51">
        <v>1</v>
      </c>
      <c r="M49" s="50">
        <f t="shared" si="1"/>
        <v>10</v>
      </c>
      <c r="N49" s="50">
        <v>12</v>
      </c>
      <c r="O49" s="63" t="s">
        <v>578</v>
      </c>
      <c r="P49" s="55">
        <v>0.14030000000000001</v>
      </c>
      <c r="Q49" s="55">
        <f t="shared" si="2"/>
        <v>1.6836000000000002</v>
      </c>
      <c r="R49" s="52"/>
      <c r="S49" s="53"/>
    </row>
    <row r="50" spans="1:19" ht="24.75" thickBot="1" x14ac:dyDescent="0.3">
      <c r="A50" s="1"/>
      <c r="B50" s="38">
        <f t="shared" si="0"/>
        <v>41</v>
      </c>
      <c r="C50" s="60" t="s">
        <v>476</v>
      </c>
      <c r="D50" s="46" t="s">
        <v>43</v>
      </c>
      <c r="E50" s="47" t="s">
        <v>151</v>
      </c>
      <c r="F50" s="46" t="s">
        <v>486</v>
      </c>
      <c r="G50" s="47" t="s">
        <v>244</v>
      </c>
      <c r="H50" s="46" t="s">
        <v>373</v>
      </c>
      <c r="I50" s="46" t="s">
        <v>484</v>
      </c>
      <c r="J50" s="46" t="s">
        <v>524</v>
      </c>
      <c r="K50" s="46" t="s">
        <v>418</v>
      </c>
      <c r="L50" s="47">
        <v>2</v>
      </c>
      <c r="M50" s="46">
        <f t="shared" si="1"/>
        <v>20</v>
      </c>
      <c r="N50" s="46">
        <v>30</v>
      </c>
      <c r="O50" s="62" t="s">
        <v>578</v>
      </c>
      <c r="P50" s="54">
        <v>4.3799999999999999E-2</v>
      </c>
      <c r="Q50" s="54">
        <f t="shared" si="2"/>
        <v>1.3140000000000001</v>
      </c>
      <c r="R50" s="48"/>
      <c r="S50" s="48"/>
    </row>
    <row r="51" spans="1:19" ht="36.75" thickBot="1" x14ac:dyDescent="0.3">
      <c r="A51" s="1"/>
      <c r="B51" s="38">
        <f>ROW(B51) - ROW($B$9)</f>
        <v>42</v>
      </c>
      <c r="C51" s="61" t="s">
        <v>476</v>
      </c>
      <c r="D51" s="50" t="s">
        <v>44</v>
      </c>
      <c r="E51" s="51" t="s">
        <v>152</v>
      </c>
      <c r="F51" s="50" t="s">
        <v>486</v>
      </c>
      <c r="G51" s="51" t="s">
        <v>245</v>
      </c>
      <c r="H51" s="50" t="s">
        <v>374</v>
      </c>
      <c r="I51" s="50" t="s">
        <v>484</v>
      </c>
      <c r="J51" s="50" t="s">
        <v>525</v>
      </c>
      <c r="K51" s="50" t="s">
        <v>419</v>
      </c>
      <c r="L51" s="51">
        <v>2</v>
      </c>
      <c r="M51" s="50">
        <f t="shared" si="1"/>
        <v>20</v>
      </c>
      <c r="N51" s="50">
        <v>22</v>
      </c>
      <c r="O51" s="63" t="s">
        <v>578</v>
      </c>
      <c r="P51" s="55">
        <v>0.13650000000000001</v>
      </c>
      <c r="Q51" s="55">
        <f t="shared" si="2"/>
        <v>3.0030000000000001</v>
      </c>
      <c r="R51" s="52"/>
      <c r="S51" s="53"/>
    </row>
    <row r="52" spans="1:19" ht="36.75" thickBot="1" x14ac:dyDescent="0.3">
      <c r="A52" s="1"/>
      <c r="B52" s="38">
        <f t="shared" si="0"/>
        <v>43</v>
      </c>
      <c r="C52" s="60" t="s">
        <v>476</v>
      </c>
      <c r="D52" s="46" t="s">
        <v>45</v>
      </c>
      <c r="E52" s="47" t="s">
        <v>153</v>
      </c>
      <c r="F52" s="46" t="s">
        <v>486</v>
      </c>
      <c r="G52" s="47" t="s">
        <v>246</v>
      </c>
      <c r="H52" s="46" t="s">
        <v>373</v>
      </c>
      <c r="I52" s="46" t="s">
        <v>484</v>
      </c>
      <c r="J52" s="46" t="s">
        <v>526</v>
      </c>
      <c r="K52" s="46" t="s">
        <v>417</v>
      </c>
      <c r="L52" s="47">
        <v>2</v>
      </c>
      <c r="M52" s="46">
        <f t="shared" si="1"/>
        <v>20</v>
      </c>
      <c r="N52" s="46">
        <v>22</v>
      </c>
      <c r="O52" s="62" t="s">
        <v>578</v>
      </c>
      <c r="P52" s="54">
        <v>0.14799999999999999</v>
      </c>
      <c r="Q52" s="54">
        <f t="shared" si="2"/>
        <v>3.2559999999999998</v>
      </c>
      <c r="R52" s="48"/>
      <c r="S52" s="48"/>
    </row>
    <row r="53" spans="1:19" ht="36.75" thickBot="1" x14ac:dyDescent="0.3">
      <c r="A53" s="1"/>
      <c r="B53" s="38">
        <f>ROW(B53) - ROW($B$9)</f>
        <v>44</v>
      </c>
      <c r="C53" s="61" t="s">
        <v>476</v>
      </c>
      <c r="D53" s="50" t="s">
        <v>46</v>
      </c>
      <c r="E53" s="51" t="s">
        <v>154</v>
      </c>
      <c r="F53" s="50" t="s">
        <v>486</v>
      </c>
      <c r="G53" s="51" t="s">
        <v>247</v>
      </c>
      <c r="H53" s="50" t="s">
        <v>375</v>
      </c>
      <c r="I53" s="50" t="s">
        <v>484</v>
      </c>
      <c r="J53" s="50" t="s">
        <v>527</v>
      </c>
      <c r="K53" s="50" t="s">
        <v>484</v>
      </c>
      <c r="L53" s="51">
        <v>1</v>
      </c>
      <c r="M53" s="50">
        <f t="shared" si="1"/>
        <v>10</v>
      </c>
      <c r="N53" s="50">
        <v>20</v>
      </c>
      <c r="O53" s="63" t="s">
        <v>578</v>
      </c>
      <c r="P53" s="55">
        <v>7.0599999999999996E-2</v>
      </c>
      <c r="Q53" s="55">
        <f t="shared" si="2"/>
        <v>1.4119999999999999</v>
      </c>
      <c r="R53" s="52"/>
      <c r="S53" s="53"/>
    </row>
    <row r="54" spans="1:19" ht="36.75" thickBot="1" x14ac:dyDescent="0.3">
      <c r="A54" s="1"/>
      <c r="B54" s="38">
        <f t="shared" si="0"/>
        <v>45</v>
      </c>
      <c r="C54" s="60" t="s">
        <v>470</v>
      </c>
      <c r="D54" s="46" t="s">
        <v>47</v>
      </c>
      <c r="E54" s="47" t="s">
        <v>155</v>
      </c>
      <c r="F54" s="46" t="s">
        <v>248</v>
      </c>
      <c r="G54" s="47" t="s">
        <v>302</v>
      </c>
      <c r="H54" s="46" t="s">
        <v>354</v>
      </c>
      <c r="I54" s="46" t="s">
        <v>484</v>
      </c>
      <c r="J54" s="46" t="s">
        <v>528</v>
      </c>
      <c r="K54" s="46" t="s">
        <v>484</v>
      </c>
      <c r="L54" s="47">
        <v>1</v>
      </c>
      <c r="M54" s="46">
        <f t="shared" si="1"/>
        <v>10</v>
      </c>
      <c r="N54" s="46">
        <v>100</v>
      </c>
      <c r="O54" s="62" t="s">
        <v>578</v>
      </c>
      <c r="P54" s="54">
        <v>3.0999999999999999E-3</v>
      </c>
      <c r="Q54" s="54">
        <f t="shared" si="2"/>
        <v>0.31</v>
      </c>
      <c r="R54" s="48"/>
      <c r="S54" s="48"/>
    </row>
    <row r="55" spans="1:19" ht="15.75" thickBot="1" x14ac:dyDescent="0.3">
      <c r="A55" s="1"/>
      <c r="B55" s="38">
        <f>ROW(B55) - ROW($B$9)</f>
        <v>46</v>
      </c>
      <c r="C55" s="61" t="s">
        <v>476</v>
      </c>
      <c r="D55" s="50" t="s">
        <v>48</v>
      </c>
      <c r="E55" s="51" t="s">
        <v>156</v>
      </c>
      <c r="F55" s="50" t="s">
        <v>486</v>
      </c>
      <c r="G55" s="51" t="s">
        <v>249</v>
      </c>
      <c r="H55" s="50" t="s">
        <v>375</v>
      </c>
      <c r="I55" s="50" t="s">
        <v>484</v>
      </c>
      <c r="J55" s="50" t="s">
        <v>529</v>
      </c>
      <c r="K55" s="50" t="s">
        <v>420</v>
      </c>
      <c r="L55" s="51">
        <v>1</v>
      </c>
      <c r="M55" s="50">
        <f t="shared" si="1"/>
        <v>10</v>
      </c>
      <c r="N55" s="50">
        <v>20</v>
      </c>
      <c r="O55" s="63" t="s">
        <v>578</v>
      </c>
      <c r="P55" s="55">
        <v>5.62E-2</v>
      </c>
      <c r="Q55" s="55">
        <f t="shared" si="2"/>
        <v>1.1240000000000001</v>
      </c>
      <c r="R55" s="52"/>
      <c r="S55" s="53"/>
    </row>
    <row r="56" spans="1:19" ht="15.75" thickBot="1" x14ac:dyDescent="0.3">
      <c r="A56" s="1"/>
      <c r="B56" s="38">
        <f t="shared" si="0"/>
        <v>47</v>
      </c>
      <c r="C56" s="60" t="s">
        <v>477</v>
      </c>
      <c r="D56" s="46" t="s">
        <v>49</v>
      </c>
      <c r="E56" s="47" t="s">
        <v>157</v>
      </c>
      <c r="F56" s="46" t="s">
        <v>250</v>
      </c>
      <c r="G56" s="64" t="s">
        <v>586</v>
      </c>
      <c r="H56" s="46" t="s">
        <v>376</v>
      </c>
      <c r="I56" s="46" t="s">
        <v>584</v>
      </c>
      <c r="J56" s="46" t="s">
        <v>585</v>
      </c>
      <c r="K56" s="46" t="s">
        <v>484</v>
      </c>
      <c r="L56" s="47">
        <v>1</v>
      </c>
      <c r="M56" s="46">
        <f t="shared" si="1"/>
        <v>10</v>
      </c>
      <c r="N56" s="46">
        <v>50</v>
      </c>
      <c r="O56" s="62" t="s">
        <v>578</v>
      </c>
      <c r="P56" s="54">
        <v>1.6299999999999999E-2</v>
      </c>
      <c r="Q56" s="54">
        <f t="shared" si="2"/>
        <v>0.81499999999999995</v>
      </c>
      <c r="R56" s="48"/>
      <c r="S56" s="48"/>
    </row>
    <row r="57" spans="1:19" ht="15.75" thickBot="1" x14ac:dyDescent="0.3">
      <c r="A57" s="1"/>
      <c r="B57" s="38">
        <f>ROW(B57) - ROW($B$9)</f>
        <v>48</v>
      </c>
      <c r="C57" s="61" t="s">
        <v>478</v>
      </c>
      <c r="D57" s="50" t="s">
        <v>50</v>
      </c>
      <c r="E57" s="51" t="s">
        <v>158</v>
      </c>
      <c r="F57" s="50" t="s">
        <v>250</v>
      </c>
      <c r="G57" s="65" t="s">
        <v>303</v>
      </c>
      <c r="H57" s="50" t="s">
        <v>376</v>
      </c>
      <c r="I57" s="50" t="s">
        <v>589</v>
      </c>
      <c r="J57" s="50" t="s">
        <v>590</v>
      </c>
      <c r="K57" s="50" t="s">
        <v>484</v>
      </c>
      <c r="L57" s="51">
        <v>1</v>
      </c>
      <c r="M57" s="50">
        <f t="shared" si="1"/>
        <v>10</v>
      </c>
      <c r="N57" s="50">
        <v>20</v>
      </c>
      <c r="O57" s="63" t="s">
        <v>578</v>
      </c>
      <c r="P57" s="55">
        <v>3.5400000000000001E-2</v>
      </c>
      <c r="Q57" s="55">
        <f t="shared" si="2"/>
        <v>0.70799999999999996</v>
      </c>
      <c r="R57" s="52"/>
      <c r="S57" s="53"/>
    </row>
    <row r="58" spans="1:19" ht="15.75" thickBot="1" x14ac:dyDescent="0.3">
      <c r="A58" s="1"/>
      <c r="B58" s="38">
        <f t="shared" si="0"/>
        <v>49</v>
      </c>
      <c r="C58" s="60" t="s">
        <v>477</v>
      </c>
      <c r="D58" s="46" t="s">
        <v>51</v>
      </c>
      <c r="E58" s="47" t="s">
        <v>159</v>
      </c>
      <c r="F58" s="46" t="s">
        <v>250</v>
      </c>
      <c r="G58" s="64" t="s">
        <v>304</v>
      </c>
      <c r="H58" s="46" t="s">
        <v>376</v>
      </c>
      <c r="I58" s="46" t="s">
        <v>587</v>
      </c>
      <c r="J58" s="46" t="s">
        <v>588</v>
      </c>
      <c r="K58" s="46" t="s">
        <v>484</v>
      </c>
      <c r="L58" s="47">
        <v>1</v>
      </c>
      <c r="M58" s="46">
        <f t="shared" si="1"/>
        <v>10</v>
      </c>
      <c r="N58" s="46">
        <v>20</v>
      </c>
      <c r="O58" s="62" t="s">
        <v>578</v>
      </c>
      <c r="P58" s="54">
        <v>3.5200000000000002E-2</v>
      </c>
      <c r="Q58" s="54">
        <f t="shared" si="2"/>
        <v>0.70400000000000007</v>
      </c>
      <c r="R58" s="48"/>
      <c r="S58" s="48"/>
    </row>
    <row r="59" spans="1:19" ht="15.75" thickBot="1" x14ac:dyDescent="0.3">
      <c r="A59" s="1"/>
      <c r="B59" s="38">
        <f>ROW(B59) - ROW($B$9)</f>
        <v>50</v>
      </c>
      <c r="C59" s="61" t="s">
        <v>478</v>
      </c>
      <c r="D59" s="50" t="s">
        <v>52</v>
      </c>
      <c r="E59" s="51" t="s">
        <v>160</v>
      </c>
      <c r="F59" s="50" t="s">
        <v>250</v>
      </c>
      <c r="G59" s="65" t="s">
        <v>305</v>
      </c>
      <c r="H59" s="50" t="s">
        <v>376</v>
      </c>
      <c r="I59" s="50" t="s">
        <v>591</v>
      </c>
      <c r="J59" s="50" t="s">
        <v>592</v>
      </c>
      <c r="K59" s="50" t="s">
        <v>484</v>
      </c>
      <c r="L59" s="51">
        <v>1</v>
      </c>
      <c r="M59" s="50">
        <f t="shared" si="1"/>
        <v>10</v>
      </c>
      <c r="N59" s="50">
        <v>50</v>
      </c>
      <c r="O59" s="63" t="s">
        <v>578</v>
      </c>
      <c r="P59" s="55">
        <v>1.5900000000000001E-2</v>
      </c>
      <c r="Q59" s="55">
        <f t="shared" si="2"/>
        <v>0.79500000000000004</v>
      </c>
      <c r="R59" s="52"/>
      <c r="S59" s="53"/>
    </row>
    <row r="60" spans="1:19" ht="48.75" thickBot="1" x14ac:dyDescent="0.3">
      <c r="A60" s="1"/>
      <c r="B60" s="38">
        <f t="shared" si="0"/>
        <v>51</v>
      </c>
      <c r="C60" s="60" t="s">
        <v>479</v>
      </c>
      <c r="D60" s="46" t="s">
        <v>53</v>
      </c>
      <c r="E60" s="47" t="s">
        <v>161</v>
      </c>
      <c r="F60" s="46" t="s">
        <v>251</v>
      </c>
      <c r="G60" s="47" t="s">
        <v>484</v>
      </c>
      <c r="H60" s="46" t="s">
        <v>484</v>
      </c>
      <c r="I60" s="46" t="s">
        <v>484</v>
      </c>
      <c r="J60" s="46" t="s">
        <v>484</v>
      </c>
      <c r="K60" s="46" t="s">
        <v>484</v>
      </c>
      <c r="L60" s="47">
        <v>28</v>
      </c>
      <c r="M60" s="46">
        <f t="shared" si="1"/>
        <v>280</v>
      </c>
      <c r="N60" s="46" t="s">
        <v>484</v>
      </c>
      <c r="O60" s="62" t="s">
        <v>484</v>
      </c>
      <c r="P60" s="54" t="s">
        <v>484</v>
      </c>
      <c r="Q60" s="54" t="s">
        <v>484</v>
      </c>
      <c r="R60" s="48" t="s">
        <v>484</v>
      </c>
      <c r="S60" s="48" t="s">
        <v>484</v>
      </c>
    </row>
    <row r="61" spans="1:19" ht="24.75" thickBot="1" x14ac:dyDescent="0.3">
      <c r="A61" s="1"/>
      <c r="B61" s="38">
        <f>ROW(B61) - ROW($B$9)</f>
        <v>52</v>
      </c>
      <c r="C61" s="61" t="s">
        <v>472</v>
      </c>
      <c r="D61" s="50" t="s">
        <v>54</v>
      </c>
      <c r="E61" s="51" t="s">
        <v>162</v>
      </c>
      <c r="F61" s="50" t="s">
        <v>252</v>
      </c>
      <c r="G61" s="65">
        <v>61300211121</v>
      </c>
      <c r="H61" s="50" t="s">
        <v>363</v>
      </c>
      <c r="I61" s="50" t="s">
        <v>593</v>
      </c>
      <c r="J61" s="50" t="s">
        <v>595</v>
      </c>
      <c r="K61" s="50" t="s">
        <v>484</v>
      </c>
      <c r="L61" s="51">
        <v>10</v>
      </c>
      <c r="M61" s="50">
        <f t="shared" si="1"/>
        <v>100</v>
      </c>
      <c r="N61" s="50">
        <v>150</v>
      </c>
      <c r="O61" s="63" t="s">
        <v>578</v>
      </c>
      <c r="P61" s="55">
        <v>1.3599999999999999E-2</v>
      </c>
      <c r="Q61" s="55">
        <f t="shared" si="2"/>
        <v>2.04</v>
      </c>
      <c r="R61" s="52"/>
      <c r="S61" s="53"/>
    </row>
    <row r="62" spans="1:19" ht="15.75" thickBot="1" x14ac:dyDescent="0.3">
      <c r="A62" s="1"/>
      <c r="B62" s="38">
        <f t="shared" si="0"/>
        <v>53</v>
      </c>
      <c r="C62" s="60" t="s">
        <v>472</v>
      </c>
      <c r="D62" s="46" t="s">
        <v>55</v>
      </c>
      <c r="E62" s="47" t="s">
        <v>163</v>
      </c>
      <c r="F62" s="46" t="s">
        <v>253</v>
      </c>
      <c r="G62" s="64">
        <v>61300611121</v>
      </c>
      <c r="H62" s="46" t="s">
        <v>363</v>
      </c>
      <c r="I62" s="46" t="s">
        <v>596</v>
      </c>
      <c r="J62" s="46" t="s">
        <v>597</v>
      </c>
      <c r="K62" s="46" t="s">
        <v>484</v>
      </c>
      <c r="L62" s="47">
        <v>1</v>
      </c>
      <c r="M62" s="46">
        <f t="shared" si="1"/>
        <v>10</v>
      </c>
      <c r="N62" s="46">
        <v>20</v>
      </c>
      <c r="O62" s="62" t="s">
        <v>578</v>
      </c>
      <c r="P62" s="54">
        <v>3.15E-2</v>
      </c>
      <c r="Q62" s="54">
        <f t="shared" si="2"/>
        <v>0.63</v>
      </c>
      <c r="R62" s="48"/>
      <c r="S62" s="48"/>
    </row>
    <row r="63" spans="1:19" ht="15.75" thickBot="1" x14ac:dyDescent="0.3">
      <c r="A63" s="1"/>
      <c r="B63" s="38">
        <f>ROW(B63) - ROW($B$9)</f>
        <v>54</v>
      </c>
      <c r="C63" s="61" t="s">
        <v>472</v>
      </c>
      <c r="D63" s="50" t="s">
        <v>56</v>
      </c>
      <c r="E63" s="51" t="s">
        <v>164</v>
      </c>
      <c r="F63" s="50" t="s">
        <v>254</v>
      </c>
      <c r="G63" s="65">
        <v>61300311121</v>
      </c>
      <c r="H63" s="50" t="s">
        <v>363</v>
      </c>
      <c r="I63" s="50" t="s">
        <v>594</v>
      </c>
      <c r="J63" s="50" t="s">
        <v>598</v>
      </c>
      <c r="K63" s="50" t="s">
        <v>484</v>
      </c>
      <c r="L63" s="51">
        <v>1</v>
      </c>
      <c r="M63" s="50">
        <f t="shared" si="1"/>
        <v>10</v>
      </c>
      <c r="N63" s="50">
        <v>50</v>
      </c>
      <c r="O63" s="63" t="s">
        <v>578</v>
      </c>
      <c r="P63" s="55">
        <v>1.6500000000000001E-2</v>
      </c>
      <c r="Q63" s="55">
        <f t="shared" si="2"/>
        <v>0.82500000000000007</v>
      </c>
      <c r="R63" s="52"/>
      <c r="S63" s="53"/>
    </row>
    <row r="64" spans="1:19" ht="24.75" thickBot="1" x14ac:dyDescent="0.3">
      <c r="A64" s="1"/>
      <c r="B64" s="38">
        <f t="shared" si="0"/>
        <v>55</v>
      </c>
      <c r="C64" s="60" t="s">
        <v>480</v>
      </c>
      <c r="D64" s="46" t="s">
        <v>57</v>
      </c>
      <c r="E64" s="47" t="s">
        <v>165</v>
      </c>
      <c r="F64" s="46" t="s">
        <v>255</v>
      </c>
      <c r="G64" s="47" t="s">
        <v>306</v>
      </c>
      <c r="H64" s="46" t="s">
        <v>377</v>
      </c>
      <c r="I64" s="46" t="s">
        <v>484</v>
      </c>
      <c r="J64" s="46" t="s">
        <v>530</v>
      </c>
      <c r="K64" s="46" t="s">
        <v>484</v>
      </c>
      <c r="L64" s="47">
        <v>1</v>
      </c>
      <c r="M64" s="46">
        <f t="shared" si="1"/>
        <v>10</v>
      </c>
      <c r="N64" s="46">
        <v>20</v>
      </c>
      <c r="O64" s="62" t="s">
        <v>578</v>
      </c>
      <c r="P64" s="54">
        <v>3.6700000000000003E-2</v>
      </c>
      <c r="Q64" s="54">
        <f t="shared" si="2"/>
        <v>0.7340000000000001</v>
      </c>
      <c r="R64" s="48"/>
      <c r="S64" s="48"/>
    </row>
    <row r="65" spans="1:19" ht="24.75" thickBot="1" x14ac:dyDescent="0.3">
      <c r="A65" s="1"/>
      <c r="B65" s="38">
        <f>ROW(B65) - ROW($B$9)</f>
        <v>56</v>
      </c>
      <c r="C65" s="61" t="s">
        <v>480</v>
      </c>
      <c r="D65" s="50" t="s">
        <v>58</v>
      </c>
      <c r="E65" s="51" t="s">
        <v>166</v>
      </c>
      <c r="F65" s="50" t="s">
        <v>255</v>
      </c>
      <c r="G65" s="51" t="s">
        <v>307</v>
      </c>
      <c r="H65" s="50" t="s">
        <v>378</v>
      </c>
      <c r="I65" s="50" t="s">
        <v>484</v>
      </c>
      <c r="J65" s="50" t="s">
        <v>531</v>
      </c>
      <c r="K65" s="50" t="s">
        <v>484</v>
      </c>
      <c r="L65" s="51">
        <v>5</v>
      </c>
      <c r="M65" s="50">
        <f t="shared" si="1"/>
        <v>50</v>
      </c>
      <c r="N65" s="50">
        <v>60</v>
      </c>
      <c r="O65" s="63" t="s">
        <v>578</v>
      </c>
      <c r="P65" s="55">
        <v>2.0500000000000001E-2</v>
      </c>
      <c r="Q65" s="55">
        <f t="shared" si="2"/>
        <v>1.23</v>
      </c>
      <c r="R65" s="52"/>
      <c r="S65" s="53"/>
    </row>
    <row r="66" spans="1:19" ht="36.75" thickBot="1" x14ac:dyDescent="0.3">
      <c r="A66" s="1"/>
      <c r="B66" s="38">
        <f t="shared" si="0"/>
        <v>57</v>
      </c>
      <c r="C66" s="60" t="s">
        <v>480</v>
      </c>
      <c r="D66" s="46" t="s">
        <v>59</v>
      </c>
      <c r="E66" s="47" t="s">
        <v>167</v>
      </c>
      <c r="F66" s="46" t="s">
        <v>255</v>
      </c>
      <c r="G66" s="47" t="s">
        <v>308</v>
      </c>
      <c r="H66" s="46" t="s">
        <v>357</v>
      </c>
      <c r="I66" s="46" t="s">
        <v>484</v>
      </c>
      <c r="J66" s="46" t="s">
        <v>532</v>
      </c>
      <c r="K66" s="46" t="s">
        <v>484</v>
      </c>
      <c r="L66" s="47">
        <v>3</v>
      </c>
      <c r="M66" s="46">
        <f t="shared" si="1"/>
        <v>30</v>
      </c>
      <c r="N66" s="46">
        <v>40</v>
      </c>
      <c r="O66" s="62" t="s">
        <v>578</v>
      </c>
      <c r="P66" s="54">
        <v>3.1399999999999997E-2</v>
      </c>
      <c r="Q66" s="54">
        <f t="shared" si="2"/>
        <v>1.2559999999999998</v>
      </c>
      <c r="R66" s="48"/>
      <c r="S66" s="48"/>
    </row>
    <row r="67" spans="1:19" ht="36.75" thickBot="1" x14ac:dyDescent="0.3">
      <c r="A67" s="1"/>
      <c r="B67" s="38">
        <f>ROW(B67) - ROW($B$9)</f>
        <v>58</v>
      </c>
      <c r="C67" s="61" t="s">
        <v>480</v>
      </c>
      <c r="D67" s="50" t="s">
        <v>60</v>
      </c>
      <c r="E67" s="51" t="s">
        <v>168</v>
      </c>
      <c r="F67" s="50" t="s">
        <v>256</v>
      </c>
      <c r="G67" s="51" t="s">
        <v>256</v>
      </c>
      <c r="H67" s="50" t="s">
        <v>379</v>
      </c>
      <c r="I67" s="50" t="s">
        <v>484</v>
      </c>
      <c r="J67" s="50" t="s">
        <v>533</v>
      </c>
      <c r="K67" s="50" t="s">
        <v>484</v>
      </c>
      <c r="L67" s="51">
        <v>1</v>
      </c>
      <c r="M67" s="50">
        <f t="shared" si="1"/>
        <v>10</v>
      </c>
      <c r="N67" s="50">
        <v>20</v>
      </c>
      <c r="O67" s="63" t="s">
        <v>578</v>
      </c>
      <c r="P67" s="55">
        <v>4.9599999999999998E-2</v>
      </c>
      <c r="Q67" s="55">
        <f t="shared" si="2"/>
        <v>0.99199999999999999</v>
      </c>
      <c r="R67" s="52"/>
      <c r="S67" s="53"/>
    </row>
    <row r="68" spans="1:19" ht="72.75" thickBot="1" x14ac:dyDescent="0.3">
      <c r="A68" s="1"/>
      <c r="B68" s="38">
        <f t="shared" si="0"/>
        <v>59</v>
      </c>
      <c r="C68" s="60" t="s">
        <v>475</v>
      </c>
      <c r="D68" s="46" t="s">
        <v>622</v>
      </c>
      <c r="E68" s="47" t="s">
        <v>169</v>
      </c>
      <c r="F68" s="46" t="s">
        <v>257</v>
      </c>
      <c r="G68" s="47" t="s">
        <v>309</v>
      </c>
      <c r="H68" s="46" t="s">
        <v>351</v>
      </c>
      <c r="I68" s="46" t="s">
        <v>484</v>
      </c>
      <c r="J68" s="46" t="s">
        <v>534</v>
      </c>
      <c r="K68" s="46" t="s">
        <v>421</v>
      </c>
      <c r="L68" s="47">
        <v>37</v>
      </c>
      <c r="M68" s="46">
        <f t="shared" si="1"/>
        <v>370</v>
      </c>
      <c r="N68" s="46">
        <v>400</v>
      </c>
      <c r="O68" s="62" t="s">
        <v>578</v>
      </c>
      <c r="P68" s="54">
        <v>1.6999999999999999E-3</v>
      </c>
      <c r="Q68" s="54">
        <f t="shared" si="2"/>
        <v>0.67999999999999994</v>
      </c>
      <c r="R68" s="48"/>
      <c r="S68" s="48"/>
    </row>
    <row r="69" spans="1:19" ht="15.75" thickBot="1" x14ac:dyDescent="0.3">
      <c r="A69" s="1"/>
      <c r="B69" s="38">
        <f t="shared" si="0"/>
        <v>60</v>
      </c>
      <c r="C69" s="61" t="s">
        <v>475</v>
      </c>
      <c r="D69" s="50" t="s">
        <v>61</v>
      </c>
      <c r="E69" s="51" t="s">
        <v>170</v>
      </c>
      <c r="F69" s="50" t="s">
        <v>257</v>
      </c>
      <c r="G69" s="51" t="s">
        <v>310</v>
      </c>
      <c r="H69" s="50" t="s">
        <v>351</v>
      </c>
      <c r="I69" s="50" t="s">
        <v>484</v>
      </c>
      <c r="J69" s="50" t="s">
        <v>535</v>
      </c>
      <c r="K69" s="50" t="s">
        <v>423</v>
      </c>
      <c r="L69" s="51">
        <v>6</v>
      </c>
      <c r="M69" s="50">
        <f t="shared" si="1"/>
        <v>60</v>
      </c>
      <c r="N69" s="50">
        <v>80</v>
      </c>
      <c r="O69" s="63" t="s">
        <v>578</v>
      </c>
      <c r="P69" s="55">
        <v>3.27E-2</v>
      </c>
      <c r="Q69" s="55">
        <f t="shared" si="2"/>
        <v>2.6160000000000001</v>
      </c>
      <c r="R69" s="52"/>
      <c r="S69" s="53"/>
    </row>
    <row r="70" spans="1:19" ht="15.75" thickBot="1" x14ac:dyDescent="0.3">
      <c r="A70" s="1"/>
      <c r="B70" s="38">
        <f>ROW(B70) - ROW($B$9)</f>
        <v>61</v>
      </c>
      <c r="C70" s="60" t="s">
        <v>475</v>
      </c>
      <c r="D70" s="46" t="s">
        <v>62</v>
      </c>
      <c r="E70" s="47" t="s">
        <v>171</v>
      </c>
      <c r="F70" s="46" t="s">
        <v>257</v>
      </c>
      <c r="G70" s="47" t="s">
        <v>311</v>
      </c>
      <c r="H70" s="46" t="s">
        <v>351</v>
      </c>
      <c r="I70" s="46" t="s">
        <v>484</v>
      </c>
      <c r="J70" s="46" t="s">
        <v>536</v>
      </c>
      <c r="K70" s="46" t="s">
        <v>424</v>
      </c>
      <c r="L70" s="47">
        <v>3</v>
      </c>
      <c r="M70" s="46">
        <f t="shared" ref="M70:M119" si="4">L70*10</f>
        <v>30</v>
      </c>
      <c r="N70" s="46">
        <v>50</v>
      </c>
      <c r="O70" s="62" t="s">
        <v>578</v>
      </c>
      <c r="P70" s="54">
        <v>1.3299999999999999E-2</v>
      </c>
      <c r="Q70" s="54">
        <f t="shared" ref="Q70:Q119" si="5">P70*N70</f>
        <v>0.66499999999999992</v>
      </c>
      <c r="R70" s="48"/>
      <c r="S70" s="48"/>
    </row>
    <row r="71" spans="1:19" ht="24.75" thickBot="1" x14ac:dyDescent="0.3">
      <c r="A71" s="1"/>
      <c r="B71" s="38">
        <f t="shared" si="0"/>
        <v>62</v>
      </c>
      <c r="C71" s="61" t="s">
        <v>475</v>
      </c>
      <c r="D71" s="50" t="s">
        <v>63</v>
      </c>
      <c r="E71" s="51" t="s">
        <v>172</v>
      </c>
      <c r="F71" s="50" t="s">
        <v>257</v>
      </c>
      <c r="G71" s="51" t="s">
        <v>312</v>
      </c>
      <c r="H71" s="50" t="s">
        <v>381</v>
      </c>
      <c r="I71" s="50" t="s">
        <v>484</v>
      </c>
      <c r="J71" s="50" t="s">
        <v>537</v>
      </c>
      <c r="K71" s="50" t="s">
        <v>425</v>
      </c>
      <c r="L71" s="51">
        <v>1</v>
      </c>
      <c r="M71" s="50">
        <f t="shared" si="4"/>
        <v>10</v>
      </c>
      <c r="N71" s="50">
        <v>20</v>
      </c>
      <c r="O71" s="63" t="s">
        <v>578</v>
      </c>
      <c r="P71" s="55">
        <v>2.5899999999999999E-2</v>
      </c>
      <c r="Q71" s="55">
        <f t="shared" si="5"/>
        <v>0.51800000000000002</v>
      </c>
      <c r="R71" s="52"/>
      <c r="S71" s="53"/>
    </row>
    <row r="72" spans="1:19" ht="24.75" thickBot="1" x14ac:dyDescent="0.3">
      <c r="A72" s="1"/>
      <c r="B72" s="38">
        <f>ROW(B72) - ROW($B$9)</f>
        <v>63</v>
      </c>
      <c r="C72" s="60" t="s">
        <v>475</v>
      </c>
      <c r="D72" s="46" t="s">
        <v>64</v>
      </c>
      <c r="E72" s="47" t="s">
        <v>173</v>
      </c>
      <c r="F72" s="46" t="s">
        <v>257</v>
      </c>
      <c r="G72" s="47" t="s">
        <v>313</v>
      </c>
      <c r="H72" s="46" t="s">
        <v>382</v>
      </c>
      <c r="I72" s="46" t="s">
        <v>484</v>
      </c>
      <c r="J72" s="46" t="s">
        <v>538</v>
      </c>
      <c r="K72" s="46" t="s">
        <v>426</v>
      </c>
      <c r="L72" s="47">
        <v>1</v>
      </c>
      <c r="M72" s="46">
        <f t="shared" si="4"/>
        <v>10</v>
      </c>
      <c r="N72" s="46">
        <v>20</v>
      </c>
      <c r="O72" s="62" t="s">
        <v>578</v>
      </c>
      <c r="P72" s="54">
        <v>2.86E-2</v>
      </c>
      <c r="Q72" s="54">
        <f t="shared" si="5"/>
        <v>0.57200000000000006</v>
      </c>
      <c r="R72" s="48"/>
      <c r="S72" s="48"/>
    </row>
    <row r="73" spans="1:19" ht="15.75" thickBot="1" x14ac:dyDescent="0.3">
      <c r="A73" s="1"/>
      <c r="B73" s="38">
        <f t="shared" si="0"/>
        <v>64</v>
      </c>
      <c r="C73" s="61" t="s">
        <v>475</v>
      </c>
      <c r="D73" s="50" t="s">
        <v>65</v>
      </c>
      <c r="E73" s="51" t="s">
        <v>174</v>
      </c>
      <c r="F73" s="50" t="s">
        <v>257</v>
      </c>
      <c r="G73" s="51" t="s">
        <v>314</v>
      </c>
      <c r="H73" s="50" t="s">
        <v>351</v>
      </c>
      <c r="I73" s="50" t="s">
        <v>484</v>
      </c>
      <c r="J73" s="50" t="s">
        <v>539</v>
      </c>
      <c r="K73" s="50" t="s">
        <v>427</v>
      </c>
      <c r="L73" s="51">
        <v>1</v>
      </c>
      <c r="M73" s="50">
        <f t="shared" si="4"/>
        <v>10</v>
      </c>
      <c r="N73" s="50">
        <v>100</v>
      </c>
      <c r="O73" s="63" t="s">
        <v>578</v>
      </c>
      <c r="P73" s="55">
        <v>1.4E-3</v>
      </c>
      <c r="Q73" s="55">
        <f t="shared" si="5"/>
        <v>0.13999999999999999</v>
      </c>
      <c r="R73" s="52"/>
      <c r="S73" s="53"/>
    </row>
    <row r="74" spans="1:19" ht="15.75" thickBot="1" x14ac:dyDescent="0.3">
      <c r="A74" s="1"/>
      <c r="B74" s="38">
        <f>ROW(B74) - ROW($B$9)</f>
        <v>65</v>
      </c>
      <c r="C74" s="60" t="s">
        <v>475</v>
      </c>
      <c r="D74" s="46" t="s">
        <v>66</v>
      </c>
      <c r="E74" s="47" t="s">
        <v>175</v>
      </c>
      <c r="F74" s="46" t="s">
        <v>257</v>
      </c>
      <c r="G74" s="47" t="s">
        <v>599</v>
      </c>
      <c r="H74" s="46" t="s">
        <v>351</v>
      </c>
      <c r="I74" s="46" t="s">
        <v>484</v>
      </c>
      <c r="J74" s="46" t="s">
        <v>600</v>
      </c>
      <c r="K74" s="46" t="s">
        <v>428</v>
      </c>
      <c r="L74" s="47">
        <v>1</v>
      </c>
      <c r="M74" s="46">
        <f t="shared" si="4"/>
        <v>10</v>
      </c>
      <c r="N74" s="46">
        <v>100</v>
      </c>
      <c r="O74" s="62" t="s">
        <v>578</v>
      </c>
      <c r="P74" s="54">
        <v>1.1999999999999999E-3</v>
      </c>
      <c r="Q74" s="54">
        <f t="shared" si="5"/>
        <v>0.12</v>
      </c>
      <c r="R74" s="48"/>
      <c r="S74" s="48"/>
    </row>
    <row r="75" spans="1:19" ht="15.75" thickBot="1" x14ac:dyDescent="0.3">
      <c r="A75" s="1"/>
      <c r="B75" s="38">
        <f t="shared" si="0"/>
        <v>66</v>
      </c>
      <c r="C75" s="61" t="s">
        <v>475</v>
      </c>
      <c r="D75" s="50" t="s">
        <v>67</v>
      </c>
      <c r="E75" s="51" t="s">
        <v>176</v>
      </c>
      <c r="F75" s="50" t="s">
        <v>257</v>
      </c>
      <c r="G75" s="80" t="s">
        <v>315</v>
      </c>
      <c r="H75" s="50" t="s">
        <v>351</v>
      </c>
      <c r="I75" s="50" t="s">
        <v>601</v>
      </c>
      <c r="J75" s="50" t="s">
        <v>602</v>
      </c>
      <c r="K75" s="50" t="s">
        <v>429</v>
      </c>
      <c r="L75" s="51">
        <v>1</v>
      </c>
      <c r="M75" s="50">
        <f t="shared" si="4"/>
        <v>10</v>
      </c>
      <c r="N75" s="50">
        <v>100</v>
      </c>
      <c r="O75" s="63" t="s">
        <v>578</v>
      </c>
      <c r="P75" s="55">
        <v>1.1000000000000001E-3</v>
      </c>
      <c r="Q75" s="55">
        <f t="shared" si="5"/>
        <v>0.11</v>
      </c>
      <c r="R75" s="52"/>
      <c r="S75" s="53"/>
    </row>
    <row r="76" spans="1:19" ht="15.75" thickBot="1" x14ac:dyDescent="0.3">
      <c r="A76" s="1"/>
      <c r="B76" s="38">
        <f t="shared" si="0"/>
        <v>67</v>
      </c>
      <c r="C76" s="60" t="s">
        <v>475</v>
      </c>
      <c r="D76" s="46" t="s">
        <v>68</v>
      </c>
      <c r="E76" s="47" t="s">
        <v>177</v>
      </c>
      <c r="F76" s="46" t="s">
        <v>257</v>
      </c>
      <c r="G76" s="47" t="s">
        <v>316</v>
      </c>
      <c r="H76" s="46" t="s">
        <v>351</v>
      </c>
      <c r="I76" s="46" t="s">
        <v>484</v>
      </c>
      <c r="J76" s="46" t="s">
        <v>540</v>
      </c>
      <c r="K76" s="46" t="s">
        <v>430</v>
      </c>
      <c r="L76" s="47">
        <v>1</v>
      </c>
      <c r="M76" s="46">
        <f t="shared" si="4"/>
        <v>10</v>
      </c>
      <c r="N76" s="46">
        <v>20</v>
      </c>
      <c r="O76" s="62" t="s">
        <v>578</v>
      </c>
      <c r="P76" s="54">
        <v>2.5899999999999999E-2</v>
      </c>
      <c r="Q76" s="54">
        <f t="shared" si="5"/>
        <v>0.51800000000000002</v>
      </c>
      <c r="R76" s="48"/>
      <c r="S76" s="48"/>
    </row>
    <row r="77" spans="1:19" ht="15.75" thickBot="1" x14ac:dyDescent="0.3">
      <c r="A77" s="1"/>
      <c r="B77" s="38">
        <f>ROW(B77) - ROW($B$9)</f>
        <v>68</v>
      </c>
      <c r="C77" s="61" t="s">
        <v>475</v>
      </c>
      <c r="D77" s="50" t="s">
        <v>69</v>
      </c>
      <c r="E77" s="51" t="s">
        <v>178</v>
      </c>
      <c r="F77" s="50" t="s">
        <v>257</v>
      </c>
      <c r="G77" s="51" t="s">
        <v>317</v>
      </c>
      <c r="H77" s="50" t="s">
        <v>351</v>
      </c>
      <c r="I77" s="50" t="s">
        <v>484</v>
      </c>
      <c r="J77" s="50" t="s">
        <v>541</v>
      </c>
      <c r="K77" s="50" t="s">
        <v>431</v>
      </c>
      <c r="L77" s="51">
        <v>6</v>
      </c>
      <c r="M77" s="50">
        <f t="shared" si="4"/>
        <v>60</v>
      </c>
      <c r="N77" s="50">
        <v>100</v>
      </c>
      <c r="O77" s="63" t="s">
        <v>578</v>
      </c>
      <c r="P77" s="55">
        <v>1.2999999999999999E-3</v>
      </c>
      <c r="Q77" s="55">
        <f t="shared" si="5"/>
        <v>0.13</v>
      </c>
      <c r="R77" s="52"/>
      <c r="S77" s="53"/>
    </row>
    <row r="78" spans="1:19" ht="24.75" thickBot="1" x14ac:dyDescent="0.3">
      <c r="A78" s="1"/>
      <c r="B78" s="38">
        <f t="shared" si="0"/>
        <v>69</v>
      </c>
      <c r="C78" s="60" t="s">
        <v>475</v>
      </c>
      <c r="D78" s="46" t="s">
        <v>70</v>
      </c>
      <c r="E78" s="47" t="s">
        <v>179</v>
      </c>
      <c r="F78" s="46" t="s">
        <v>257</v>
      </c>
      <c r="G78" s="47" t="s">
        <v>318</v>
      </c>
      <c r="H78" s="46" t="s">
        <v>351</v>
      </c>
      <c r="I78" s="46" t="s">
        <v>484</v>
      </c>
      <c r="J78" s="46" t="s">
        <v>542</v>
      </c>
      <c r="K78" s="46" t="s">
        <v>432</v>
      </c>
      <c r="L78" s="47">
        <v>10</v>
      </c>
      <c r="M78" s="46">
        <f t="shared" si="4"/>
        <v>100</v>
      </c>
      <c r="N78" s="46">
        <v>200</v>
      </c>
      <c r="O78" s="62" t="s">
        <v>578</v>
      </c>
      <c r="P78" s="54">
        <v>1E-3</v>
      </c>
      <c r="Q78" s="54">
        <f t="shared" si="5"/>
        <v>0.2</v>
      </c>
      <c r="R78" s="48"/>
      <c r="S78" s="48"/>
    </row>
    <row r="79" spans="1:19" ht="15.75" thickBot="1" x14ac:dyDescent="0.3">
      <c r="A79" s="1"/>
      <c r="B79" s="38">
        <f>ROW(B79) - ROW($B$9)</f>
        <v>70</v>
      </c>
      <c r="C79" s="61" t="s">
        <v>475</v>
      </c>
      <c r="D79" s="50" t="s">
        <v>71</v>
      </c>
      <c r="E79" s="51" t="s">
        <v>180</v>
      </c>
      <c r="F79" s="50" t="s">
        <v>257</v>
      </c>
      <c r="G79" s="51" t="s">
        <v>319</v>
      </c>
      <c r="H79" s="50" t="s">
        <v>351</v>
      </c>
      <c r="I79" s="50" t="s">
        <v>484</v>
      </c>
      <c r="J79" s="50" t="s">
        <v>543</v>
      </c>
      <c r="K79" s="50" t="s">
        <v>433</v>
      </c>
      <c r="L79" s="51">
        <v>1</v>
      </c>
      <c r="M79" s="50">
        <f t="shared" si="4"/>
        <v>10</v>
      </c>
      <c r="N79" s="50">
        <v>100</v>
      </c>
      <c r="O79" s="63" t="s">
        <v>578</v>
      </c>
      <c r="P79" s="55">
        <v>3.0999999999999999E-3</v>
      </c>
      <c r="Q79" s="55">
        <f t="shared" si="5"/>
        <v>0.31</v>
      </c>
      <c r="R79" s="52"/>
      <c r="S79" s="53"/>
    </row>
    <row r="80" spans="1:19" ht="36.75" thickBot="1" x14ac:dyDescent="0.3">
      <c r="A80" s="1"/>
      <c r="B80" s="38">
        <f t="shared" si="0"/>
        <v>71</v>
      </c>
      <c r="C80" s="60" t="s">
        <v>475</v>
      </c>
      <c r="D80" s="46" t="s">
        <v>72</v>
      </c>
      <c r="E80" s="47" t="s">
        <v>181</v>
      </c>
      <c r="F80" s="46" t="s">
        <v>257</v>
      </c>
      <c r="G80" s="47" t="s">
        <v>320</v>
      </c>
      <c r="H80" s="46" t="s">
        <v>351</v>
      </c>
      <c r="I80" s="46" t="s">
        <v>484</v>
      </c>
      <c r="J80" s="46" t="s">
        <v>544</v>
      </c>
      <c r="K80" s="46" t="s">
        <v>434</v>
      </c>
      <c r="L80" s="47">
        <v>3</v>
      </c>
      <c r="M80" s="46">
        <f t="shared" si="4"/>
        <v>30</v>
      </c>
      <c r="N80" s="46">
        <v>100</v>
      </c>
      <c r="O80" s="62" t="s">
        <v>578</v>
      </c>
      <c r="P80" s="54">
        <v>8.9999999999999998E-4</v>
      </c>
      <c r="Q80" s="54">
        <f t="shared" si="5"/>
        <v>0.09</v>
      </c>
      <c r="R80" s="48"/>
      <c r="S80" s="48"/>
    </row>
    <row r="81" spans="1:19" ht="36.75" thickBot="1" x14ac:dyDescent="0.3">
      <c r="A81" s="1"/>
      <c r="B81" s="38">
        <f>ROW(B81) - ROW($B$9)</f>
        <v>72</v>
      </c>
      <c r="C81" s="61" t="s">
        <v>475</v>
      </c>
      <c r="D81" s="50" t="s">
        <v>73</v>
      </c>
      <c r="E81" s="51" t="s">
        <v>182</v>
      </c>
      <c r="F81" s="50" t="s">
        <v>257</v>
      </c>
      <c r="G81" s="51" t="s">
        <v>321</v>
      </c>
      <c r="H81" s="50" t="s">
        <v>383</v>
      </c>
      <c r="I81" s="50" t="s">
        <v>484</v>
      </c>
      <c r="J81" s="50" t="s">
        <v>545</v>
      </c>
      <c r="K81" s="50" t="s">
        <v>435</v>
      </c>
      <c r="L81" s="51">
        <v>1</v>
      </c>
      <c r="M81" s="50">
        <f t="shared" si="4"/>
        <v>10</v>
      </c>
      <c r="N81" s="50">
        <v>20</v>
      </c>
      <c r="O81" s="63" t="s">
        <v>578</v>
      </c>
      <c r="P81" s="55">
        <v>1.9400000000000001E-2</v>
      </c>
      <c r="Q81" s="55">
        <f t="shared" si="5"/>
        <v>0.38800000000000001</v>
      </c>
      <c r="R81" s="52"/>
      <c r="S81" s="53"/>
    </row>
    <row r="82" spans="1:19" ht="24.75" thickBot="1" x14ac:dyDescent="0.3">
      <c r="A82" s="1"/>
      <c r="B82" s="38">
        <f t="shared" si="0"/>
        <v>73</v>
      </c>
      <c r="C82" s="60" t="s">
        <v>475</v>
      </c>
      <c r="D82" s="46" t="s">
        <v>74</v>
      </c>
      <c r="E82" s="47" t="s">
        <v>183</v>
      </c>
      <c r="F82" s="46" t="s">
        <v>257</v>
      </c>
      <c r="G82" s="47" t="s">
        <v>322</v>
      </c>
      <c r="H82" s="46" t="s">
        <v>351</v>
      </c>
      <c r="I82" s="46" t="s">
        <v>484</v>
      </c>
      <c r="J82" s="46" t="s">
        <v>546</v>
      </c>
      <c r="K82" s="46" t="s">
        <v>436</v>
      </c>
      <c r="L82" s="47">
        <v>1</v>
      </c>
      <c r="M82" s="46">
        <f t="shared" si="4"/>
        <v>10</v>
      </c>
      <c r="N82" s="46">
        <v>100</v>
      </c>
      <c r="O82" s="62" t="s">
        <v>578</v>
      </c>
      <c r="P82" s="54">
        <v>2E-3</v>
      </c>
      <c r="Q82" s="54">
        <f t="shared" si="5"/>
        <v>0.2</v>
      </c>
      <c r="R82" s="48"/>
      <c r="S82" s="48"/>
    </row>
    <row r="83" spans="1:19" ht="36.75" thickBot="1" x14ac:dyDescent="0.3">
      <c r="A83" s="1"/>
      <c r="B83" s="38">
        <f>ROW(B83) - ROW($B$9)</f>
        <v>74</v>
      </c>
      <c r="C83" s="61" t="s">
        <v>475</v>
      </c>
      <c r="D83" s="50" t="s">
        <v>623</v>
      </c>
      <c r="E83" s="51" t="s">
        <v>184</v>
      </c>
      <c r="F83" s="50" t="s">
        <v>257</v>
      </c>
      <c r="G83" s="51" t="s">
        <v>323</v>
      </c>
      <c r="H83" s="50" t="s">
        <v>384</v>
      </c>
      <c r="I83" s="50" t="s">
        <v>484</v>
      </c>
      <c r="J83" s="50" t="s">
        <v>547</v>
      </c>
      <c r="K83" s="50" t="s">
        <v>422</v>
      </c>
      <c r="L83" s="51">
        <v>10</v>
      </c>
      <c r="M83" s="50">
        <f t="shared" si="4"/>
        <v>100</v>
      </c>
      <c r="N83" s="50">
        <v>200</v>
      </c>
      <c r="O83" s="63" t="s">
        <v>578</v>
      </c>
      <c r="P83" s="55">
        <v>8.0000000000000004E-4</v>
      </c>
      <c r="Q83" s="55">
        <f t="shared" si="5"/>
        <v>0.16</v>
      </c>
      <c r="R83" s="52"/>
      <c r="S83" s="53"/>
    </row>
    <row r="84" spans="1:19" ht="24.75" thickBot="1" x14ac:dyDescent="0.3">
      <c r="A84" s="1"/>
      <c r="B84" s="38">
        <f t="shared" si="0"/>
        <v>75</v>
      </c>
      <c r="C84" s="60" t="s">
        <v>475</v>
      </c>
      <c r="D84" s="46" t="s">
        <v>75</v>
      </c>
      <c r="E84" s="47" t="s">
        <v>185</v>
      </c>
      <c r="F84" s="46" t="s">
        <v>257</v>
      </c>
      <c r="G84" s="47" t="s">
        <v>324</v>
      </c>
      <c r="H84" s="46" t="s">
        <v>381</v>
      </c>
      <c r="I84" s="46" t="s">
        <v>484</v>
      </c>
      <c r="J84" s="46" t="s">
        <v>548</v>
      </c>
      <c r="K84" s="46" t="s">
        <v>437</v>
      </c>
      <c r="L84" s="47">
        <v>1</v>
      </c>
      <c r="M84" s="46">
        <f t="shared" si="4"/>
        <v>10</v>
      </c>
      <c r="N84" s="46">
        <v>50</v>
      </c>
      <c r="O84" s="62" t="s">
        <v>578</v>
      </c>
      <c r="P84" s="54">
        <v>6.7999999999999996E-3</v>
      </c>
      <c r="Q84" s="54">
        <f t="shared" si="5"/>
        <v>0.33999999999999997</v>
      </c>
      <c r="R84" s="48"/>
      <c r="S84" s="48"/>
    </row>
    <row r="85" spans="1:19" ht="24.75" thickBot="1" x14ac:dyDescent="0.3">
      <c r="A85" s="1"/>
      <c r="B85" s="38">
        <f>ROW(B85) - ROW($B$9)</f>
        <v>76</v>
      </c>
      <c r="C85" s="61" t="s">
        <v>475</v>
      </c>
      <c r="D85" s="50" t="s">
        <v>76</v>
      </c>
      <c r="E85" s="51" t="s">
        <v>186</v>
      </c>
      <c r="F85" s="50" t="s">
        <v>257</v>
      </c>
      <c r="G85" s="51" t="s">
        <v>325</v>
      </c>
      <c r="H85" s="50" t="s">
        <v>351</v>
      </c>
      <c r="I85" s="50" t="s">
        <v>484</v>
      </c>
      <c r="J85" s="50" t="s">
        <v>549</v>
      </c>
      <c r="K85" s="50" t="s">
        <v>438</v>
      </c>
      <c r="L85" s="51">
        <v>8</v>
      </c>
      <c r="M85" s="50">
        <f t="shared" si="4"/>
        <v>80</v>
      </c>
      <c r="N85" s="50">
        <v>100</v>
      </c>
      <c r="O85" s="63" t="s">
        <v>578</v>
      </c>
      <c r="P85" s="55">
        <v>1.43E-2</v>
      </c>
      <c r="Q85" s="55">
        <f t="shared" si="5"/>
        <v>1.43</v>
      </c>
      <c r="R85" s="52"/>
      <c r="S85" s="53"/>
    </row>
    <row r="86" spans="1:19" ht="15.75" thickBot="1" x14ac:dyDescent="0.3">
      <c r="A86" s="1"/>
      <c r="B86" s="38">
        <f t="shared" si="0"/>
        <v>77</v>
      </c>
      <c r="C86" s="60" t="s">
        <v>475</v>
      </c>
      <c r="D86" s="46" t="s">
        <v>77</v>
      </c>
      <c r="E86" s="47" t="s">
        <v>187</v>
      </c>
      <c r="F86" s="46" t="s">
        <v>257</v>
      </c>
      <c r="G86" s="47" t="s">
        <v>326</v>
      </c>
      <c r="H86" s="46" t="s">
        <v>351</v>
      </c>
      <c r="I86" s="46" t="s">
        <v>484</v>
      </c>
      <c r="J86" s="46" t="s">
        <v>550</v>
      </c>
      <c r="K86" s="46" t="s">
        <v>439</v>
      </c>
      <c r="L86" s="47">
        <v>3</v>
      </c>
      <c r="M86" s="46">
        <f t="shared" si="4"/>
        <v>30</v>
      </c>
      <c r="N86" s="46">
        <v>100</v>
      </c>
      <c r="O86" s="62" t="s">
        <v>578</v>
      </c>
      <c r="P86" s="54">
        <v>3.0000000000000001E-3</v>
      </c>
      <c r="Q86" s="54">
        <f t="shared" si="5"/>
        <v>0.3</v>
      </c>
      <c r="R86" s="48"/>
      <c r="S86" s="48"/>
    </row>
    <row r="87" spans="1:19" ht="15.75" thickBot="1" x14ac:dyDescent="0.3">
      <c r="A87" s="1"/>
      <c r="B87" s="38">
        <f>ROW(B87) - ROW($B$9)</f>
        <v>78</v>
      </c>
      <c r="C87" s="61" t="s">
        <v>475</v>
      </c>
      <c r="D87" s="50" t="s">
        <v>78</v>
      </c>
      <c r="E87" s="51" t="s">
        <v>188</v>
      </c>
      <c r="F87" s="50" t="s">
        <v>257</v>
      </c>
      <c r="G87" s="51" t="s">
        <v>327</v>
      </c>
      <c r="H87" s="50" t="s">
        <v>351</v>
      </c>
      <c r="I87" s="50" t="s">
        <v>484</v>
      </c>
      <c r="J87" s="50" t="s">
        <v>551</v>
      </c>
      <c r="K87" s="50" t="s">
        <v>440</v>
      </c>
      <c r="L87" s="51">
        <v>2</v>
      </c>
      <c r="M87" s="50">
        <f t="shared" si="4"/>
        <v>20</v>
      </c>
      <c r="N87" s="50">
        <v>40</v>
      </c>
      <c r="O87" s="63" t="s">
        <v>578</v>
      </c>
      <c r="P87" s="55">
        <v>2.5700000000000001E-2</v>
      </c>
      <c r="Q87" s="55">
        <f t="shared" si="5"/>
        <v>1.028</v>
      </c>
      <c r="R87" s="52"/>
      <c r="S87" s="53"/>
    </row>
    <row r="88" spans="1:19" ht="15.75" thickBot="1" x14ac:dyDescent="0.3">
      <c r="A88" s="1"/>
      <c r="B88" s="38">
        <f t="shared" si="0"/>
        <v>79</v>
      </c>
      <c r="C88" s="60" t="s">
        <v>475</v>
      </c>
      <c r="D88" s="46" t="s">
        <v>79</v>
      </c>
      <c r="E88" s="47" t="s">
        <v>189</v>
      </c>
      <c r="F88" s="46" t="s">
        <v>257</v>
      </c>
      <c r="G88" s="47" t="s">
        <v>328</v>
      </c>
      <c r="H88" s="46" t="s">
        <v>385</v>
      </c>
      <c r="I88" s="46" t="s">
        <v>484</v>
      </c>
      <c r="J88" s="46" t="s">
        <v>552</v>
      </c>
      <c r="K88" s="46" t="s">
        <v>441</v>
      </c>
      <c r="L88" s="47">
        <v>1</v>
      </c>
      <c r="M88" s="46">
        <f t="shared" si="4"/>
        <v>10</v>
      </c>
      <c r="N88" s="46">
        <v>100</v>
      </c>
      <c r="O88" s="62" t="s">
        <v>578</v>
      </c>
      <c r="P88" s="54">
        <v>4.0000000000000001E-3</v>
      </c>
      <c r="Q88" s="54">
        <f t="shared" si="5"/>
        <v>0.4</v>
      </c>
      <c r="R88" s="48"/>
      <c r="S88" s="48"/>
    </row>
    <row r="89" spans="1:19" ht="15.75" thickBot="1" x14ac:dyDescent="0.3">
      <c r="A89" s="1"/>
      <c r="B89" s="38">
        <f>ROW(B89) - ROW($B$9)</f>
        <v>80</v>
      </c>
      <c r="C89" s="61" t="s">
        <v>475</v>
      </c>
      <c r="D89" s="50" t="s">
        <v>80</v>
      </c>
      <c r="E89" s="51" t="s">
        <v>190</v>
      </c>
      <c r="F89" s="50" t="s">
        <v>257</v>
      </c>
      <c r="G89" s="80" t="s">
        <v>329</v>
      </c>
      <c r="H89" s="50" t="s">
        <v>380</v>
      </c>
      <c r="I89" s="50" t="s">
        <v>603</v>
      </c>
      <c r="J89" s="50" t="s">
        <v>604</v>
      </c>
      <c r="K89" s="50" t="s">
        <v>442</v>
      </c>
      <c r="L89" s="51">
        <v>3</v>
      </c>
      <c r="M89" s="50">
        <f t="shared" si="4"/>
        <v>30</v>
      </c>
      <c r="N89" s="50">
        <v>100</v>
      </c>
      <c r="O89" s="63" t="s">
        <v>578</v>
      </c>
      <c r="P89" s="55">
        <v>1.1000000000000001E-3</v>
      </c>
      <c r="Q89" s="55">
        <f t="shared" si="5"/>
        <v>0.11</v>
      </c>
      <c r="R89" s="52"/>
      <c r="S89" s="53"/>
    </row>
    <row r="90" spans="1:19" ht="24.75" thickBot="1" x14ac:dyDescent="0.3">
      <c r="A90" s="1"/>
      <c r="B90" s="38">
        <f t="shared" si="0"/>
        <v>81</v>
      </c>
      <c r="C90" s="60" t="s">
        <v>475</v>
      </c>
      <c r="D90" s="46" t="s">
        <v>81</v>
      </c>
      <c r="E90" s="47" t="s">
        <v>191</v>
      </c>
      <c r="F90" s="46" t="s">
        <v>257</v>
      </c>
      <c r="G90" s="47" t="s">
        <v>485</v>
      </c>
      <c r="H90" s="46" t="s">
        <v>386</v>
      </c>
      <c r="I90" s="46" t="s">
        <v>484</v>
      </c>
      <c r="J90" s="46" t="s">
        <v>553</v>
      </c>
      <c r="K90" s="46" t="s">
        <v>443</v>
      </c>
      <c r="L90" s="47">
        <v>2</v>
      </c>
      <c r="M90" s="46">
        <f t="shared" si="4"/>
        <v>20</v>
      </c>
      <c r="N90" s="46">
        <v>100</v>
      </c>
      <c r="O90" s="62" t="s">
        <v>578</v>
      </c>
      <c r="P90" s="54">
        <v>1.1000000000000001E-3</v>
      </c>
      <c r="Q90" s="54">
        <f t="shared" si="5"/>
        <v>0.11</v>
      </c>
      <c r="R90" s="48"/>
      <c r="S90" s="48"/>
    </row>
    <row r="91" spans="1:19" ht="36.75" thickBot="1" x14ac:dyDescent="0.3">
      <c r="A91" s="1"/>
      <c r="B91" s="38">
        <f>ROW(B91) - ROW($B$9)</f>
        <v>82</v>
      </c>
      <c r="C91" s="61" t="s">
        <v>475</v>
      </c>
      <c r="D91" s="50" t="s">
        <v>82</v>
      </c>
      <c r="E91" s="51" t="s">
        <v>192</v>
      </c>
      <c r="F91" s="50" t="s">
        <v>257</v>
      </c>
      <c r="G91" s="51" t="s">
        <v>330</v>
      </c>
      <c r="H91" s="50" t="s">
        <v>351</v>
      </c>
      <c r="I91" s="50" t="s">
        <v>484</v>
      </c>
      <c r="J91" s="50" t="s">
        <v>554</v>
      </c>
      <c r="K91" s="50" t="s">
        <v>444</v>
      </c>
      <c r="L91" s="51">
        <v>1</v>
      </c>
      <c r="M91" s="50">
        <f t="shared" si="4"/>
        <v>10</v>
      </c>
      <c r="N91" s="50">
        <v>100</v>
      </c>
      <c r="O91" s="63" t="s">
        <v>578</v>
      </c>
      <c r="P91" s="55">
        <v>1.2999999999999999E-3</v>
      </c>
      <c r="Q91" s="55">
        <f t="shared" si="5"/>
        <v>0.13</v>
      </c>
      <c r="R91" s="52"/>
      <c r="S91" s="53"/>
    </row>
    <row r="92" spans="1:19" ht="15.75" thickBot="1" x14ac:dyDescent="0.3">
      <c r="A92" s="1"/>
      <c r="B92" s="38">
        <f t="shared" si="0"/>
        <v>83</v>
      </c>
      <c r="C92" s="60" t="s">
        <v>475</v>
      </c>
      <c r="D92" s="46" t="s">
        <v>83</v>
      </c>
      <c r="E92" s="47" t="s">
        <v>193</v>
      </c>
      <c r="F92" s="46" t="s">
        <v>257</v>
      </c>
      <c r="G92" s="47" t="s">
        <v>331</v>
      </c>
      <c r="H92" s="46" t="s">
        <v>351</v>
      </c>
      <c r="I92" s="46" t="s">
        <v>484</v>
      </c>
      <c r="J92" s="46" t="s">
        <v>555</v>
      </c>
      <c r="K92" s="46" t="s">
        <v>445</v>
      </c>
      <c r="L92" s="47">
        <v>5</v>
      </c>
      <c r="M92" s="46">
        <f t="shared" si="4"/>
        <v>50</v>
      </c>
      <c r="N92" s="46">
        <v>100</v>
      </c>
      <c r="O92" s="62" t="s">
        <v>578</v>
      </c>
      <c r="P92" s="54">
        <v>1.4E-3</v>
      </c>
      <c r="Q92" s="54">
        <f t="shared" si="5"/>
        <v>0.13999999999999999</v>
      </c>
      <c r="R92" s="48"/>
      <c r="S92" s="48"/>
    </row>
    <row r="93" spans="1:19" ht="15.75" thickBot="1" x14ac:dyDescent="0.3">
      <c r="A93" s="1"/>
      <c r="B93" s="38">
        <f>ROW(B93) - ROW($B$9)</f>
        <v>84</v>
      </c>
      <c r="C93" s="61" t="s">
        <v>475</v>
      </c>
      <c r="D93" s="50" t="s">
        <v>84</v>
      </c>
      <c r="E93" s="51" t="s">
        <v>194</v>
      </c>
      <c r="F93" s="50" t="s">
        <v>257</v>
      </c>
      <c r="G93" s="51" t="s">
        <v>332</v>
      </c>
      <c r="H93" s="50" t="s">
        <v>386</v>
      </c>
      <c r="I93" s="50" t="s">
        <v>484</v>
      </c>
      <c r="J93" s="50" t="s">
        <v>556</v>
      </c>
      <c r="K93" s="50" t="s">
        <v>446</v>
      </c>
      <c r="L93" s="51">
        <v>2</v>
      </c>
      <c r="M93" s="50">
        <f t="shared" si="4"/>
        <v>20</v>
      </c>
      <c r="N93" s="50">
        <v>100</v>
      </c>
      <c r="O93" s="63" t="s">
        <v>578</v>
      </c>
      <c r="P93" s="55">
        <v>1.4E-3</v>
      </c>
      <c r="Q93" s="55">
        <f t="shared" si="5"/>
        <v>0.13999999999999999</v>
      </c>
      <c r="R93" s="52"/>
      <c r="S93" s="53"/>
    </row>
    <row r="94" spans="1:19" ht="24.75" thickBot="1" x14ac:dyDescent="0.3">
      <c r="A94" s="1"/>
      <c r="B94" s="38">
        <f t="shared" si="0"/>
        <v>85</v>
      </c>
      <c r="C94" s="60" t="s">
        <v>475</v>
      </c>
      <c r="D94" s="46" t="s">
        <v>85</v>
      </c>
      <c r="E94" s="47" t="s">
        <v>195</v>
      </c>
      <c r="F94" s="46" t="s">
        <v>257</v>
      </c>
      <c r="G94" s="47" t="s">
        <v>333</v>
      </c>
      <c r="H94" s="46" t="s">
        <v>386</v>
      </c>
      <c r="I94" s="46" t="s">
        <v>484</v>
      </c>
      <c r="J94" s="46" t="s">
        <v>557</v>
      </c>
      <c r="K94" s="46" t="s">
        <v>447</v>
      </c>
      <c r="L94" s="47">
        <v>2</v>
      </c>
      <c r="M94" s="46">
        <f t="shared" si="4"/>
        <v>20</v>
      </c>
      <c r="N94" s="46">
        <v>100</v>
      </c>
      <c r="O94" s="62" t="s">
        <v>578</v>
      </c>
      <c r="P94" s="54">
        <v>1.1999999999999999E-3</v>
      </c>
      <c r="Q94" s="54">
        <f t="shared" si="5"/>
        <v>0.12</v>
      </c>
      <c r="R94" s="48"/>
      <c r="S94" s="48"/>
    </row>
    <row r="95" spans="1:19" ht="15.75" thickBot="1" x14ac:dyDescent="0.3">
      <c r="A95" s="1"/>
      <c r="B95" s="38">
        <f>ROW(B95) - ROW($B$9)</f>
        <v>86</v>
      </c>
      <c r="C95" s="61" t="s">
        <v>475</v>
      </c>
      <c r="D95" s="50" t="s">
        <v>86</v>
      </c>
      <c r="E95" s="51" t="s">
        <v>196</v>
      </c>
      <c r="F95" s="50" t="s">
        <v>257</v>
      </c>
      <c r="G95" s="51" t="s">
        <v>334</v>
      </c>
      <c r="H95" s="50" t="s">
        <v>383</v>
      </c>
      <c r="I95" s="50" t="s">
        <v>484</v>
      </c>
      <c r="J95" s="50" t="s">
        <v>558</v>
      </c>
      <c r="K95" s="50" t="s">
        <v>448</v>
      </c>
      <c r="L95" s="51">
        <v>4</v>
      </c>
      <c r="M95" s="50">
        <f t="shared" si="4"/>
        <v>40</v>
      </c>
      <c r="N95" s="50">
        <v>45</v>
      </c>
      <c r="O95" s="63" t="s">
        <v>578</v>
      </c>
      <c r="P95" s="55">
        <v>8.5500000000000007E-2</v>
      </c>
      <c r="Q95" s="55">
        <f t="shared" si="5"/>
        <v>3.8475000000000001</v>
      </c>
      <c r="R95" s="52"/>
      <c r="S95" s="53"/>
    </row>
    <row r="96" spans="1:19" ht="15.75" thickBot="1" x14ac:dyDescent="0.3">
      <c r="A96" s="1"/>
      <c r="B96" s="38">
        <f t="shared" si="0"/>
        <v>87</v>
      </c>
      <c r="C96" s="60" t="s">
        <v>475</v>
      </c>
      <c r="D96" s="46" t="s">
        <v>87</v>
      </c>
      <c r="E96" s="47" t="s">
        <v>197</v>
      </c>
      <c r="F96" s="46" t="s">
        <v>257</v>
      </c>
      <c r="G96" s="47" t="s">
        <v>335</v>
      </c>
      <c r="H96" s="46" t="s">
        <v>351</v>
      </c>
      <c r="I96" s="46" t="s">
        <v>484</v>
      </c>
      <c r="J96" s="46" t="s">
        <v>559</v>
      </c>
      <c r="K96" s="46" t="s">
        <v>449</v>
      </c>
      <c r="L96" s="47">
        <v>2</v>
      </c>
      <c r="M96" s="46">
        <f t="shared" si="4"/>
        <v>20</v>
      </c>
      <c r="N96" s="46">
        <v>50</v>
      </c>
      <c r="O96" s="62" t="s">
        <v>578</v>
      </c>
      <c r="P96" s="54">
        <v>4.8999999999999998E-3</v>
      </c>
      <c r="Q96" s="54">
        <f t="shared" si="5"/>
        <v>0.245</v>
      </c>
      <c r="R96" s="48"/>
      <c r="S96" s="48"/>
    </row>
    <row r="97" spans="1:19" ht="15.75" thickBot="1" x14ac:dyDescent="0.3">
      <c r="A97" s="1"/>
      <c r="B97" s="38">
        <f>ROW(B97) - ROW($B$9)</f>
        <v>88</v>
      </c>
      <c r="C97" s="61" t="s">
        <v>475</v>
      </c>
      <c r="D97" s="50" t="s">
        <v>88</v>
      </c>
      <c r="E97" s="51" t="s">
        <v>198</v>
      </c>
      <c r="F97" s="50" t="s">
        <v>257</v>
      </c>
      <c r="G97" s="51" t="s">
        <v>336</v>
      </c>
      <c r="H97" s="50" t="s">
        <v>351</v>
      </c>
      <c r="I97" s="50" t="s">
        <v>484</v>
      </c>
      <c r="J97" s="50" t="s">
        <v>560</v>
      </c>
      <c r="K97" s="50" t="s">
        <v>450</v>
      </c>
      <c r="L97" s="51">
        <v>2</v>
      </c>
      <c r="M97" s="50">
        <f t="shared" si="4"/>
        <v>20</v>
      </c>
      <c r="N97" s="50">
        <v>100</v>
      </c>
      <c r="O97" s="63" t="s">
        <v>578</v>
      </c>
      <c r="P97" s="55">
        <v>1.4E-3</v>
      </c>
      <c r="Q97" s="55">
        <f t="shared" si="5"/>
        <v>0.13999999999999999</v>
      </c>
      <c r="R97" s="52"/>
      <c r="S97" s="53"/>
    </row>
    <row r="98" spans="1:19" ht="36.75" thickBot="1" x14ac:dyDescent="0.3">
      <c r="A98" s="1"/>
      <c r="B98" s="38">
        <f t="shared" si="0"/>
        <v>89</v>
      </c>
      <c r="C98" s="60" t="s">
        <v>475</v>
      </c>
      <c r="D98" s="46" t="s">
        <v>89</v>
      </c>
      <c r="E98" s="47" t="s">
        <v>199</v>
      </c>
      <c r="F98" s="46" t="s">
        <v>257</v>
      </c>
      <c r="G98" s="47" t="s">
        <v>337</v>
      </c>
      <c r="H98" s="46" t="s">
        <v>381</v>
      </c>
      <c r="I98" s="46" t="s">
        <v>484</v>
      </c>
      <c r="J98" s="46" t="s">
        <v>561</v>
      </c>
      <c r="K98" s="46" t="s">
        <v>451</v>
      </c>
      <c r="L98" s="47">
        <v>1</v>
      </c>
      <c r="M98" s="46">
        <f t="shared" si="4"/>
        <v>10</v>
      </c>
      <c r="N98" s="46">
        <v>20</v>
      </c>
      <c r="O98" s="62" t="s">
        <v>578</v>
      </c>
      <c r="P98" s="54">
        <v>3.61E-2</v>
      </c>
      <c r="Q98" s="54">
        <f t="shared" si="5"/>
        <v>0.72199999999999998</v>
      </c>
      <c r="R98" s="48"/>
      <c r="S98" s="48"/>
    </row>
    <row r="99" spans="1:19" ht="72.75" thickBot="1" x14ac:dyDescent="0.3">
      <c r="A99" s="1"/>
      <c r="B99" s="38">
        <f>ROW(B99) - ROW($B$9)</f>
        <v>90</v>
      </c>
      <c r="C99" s="61" t="s">
        <v>258</v>
      </c>
      <c r="D99" s="50" t="s">
        <v>90</v>
      </c>
      <c r="E99" s="51" t="s">
        <v>200</v>
      </c>
      <c r="F99" s="50" t="s">
        <v>258</v>
      </c>
      <c r="G99" s="51" t="s">
        <v>484</v>
      </c>
      <c r="H99" s="50" t="s">
        <v>484</v>
      </c>
      <c r="I99" s="50" t="s">
        <v>484</v>
      </c>
      <c r="J99" s="50" t="s">
        <v>484</v>
      </c>
      <c r="K99" s="50" t="s">
        <v>484</v>
      </c>
      <c r="L99" s="51">
        <v>33</v>
      </c>
      <c r="M99" s="50">
        <f t="shared" si="4"/>
        <v>330</v>
      </c>
      <c r="N99" s="50" t="s">
        <v>484</v>
      </c>
      <c r="O99" s="63" t="s">
        <v>484</v>
      </c>
      <c r="P99" s="55" t="s">
        <v>484</v>
      </c>
      <c r="Q99" s="55" t="s">
        <v>484</v>
      </c>
      <c r="R99" s="52" t="s">
        <v>484</v>
      </c>
      <c r="S99" s="82" t="s">
        <v>484</v>
      </c>
    </row>
    <row r="100" spans="1:19" ht="36.75" thickBot="1" x14ac:dyDescent="0.3">
      <c r="A100" s="1"/>
      <c r="B100" s="38">
        <f t="shared" si="0"/>
        <v>91</v>
      </c>
      <c r="C100" s="60" t="s">
        <v>481</v>
      </c>
      <c r="D100" s="46" t="s">
        <v>91</v>
      </c>
      <c r="E100" s="47" t="s">
        <v>201</v>
      </c>
      <c r="F100" s="46" t="s">
        <v>486</v>
      </c>
      <c r="G100" s="47" t="s">
        <v>259</v>
      </c>
      <c r="H100" s="46" t="s">
        <v>387</v>
      </c>
      <c r="I100" s="46" t="s">
        <v>484</v>
      </c>
      <c r="J100" s="46" t="s">
        <v>562</v>
      </c>
      <c r="K100" s="46" t="s">
        <v>484</v>
      </c>
      <c r="L100" s="47">
        <v>7</v>
      </c>
      <c r="M100" s="46">
        <f t="shared" si="4"/>
        <v>70</v>
      </c>
      <c r="N100" s="46">
        <v>80</v>
      </c>
      <c r="O100" s="62" t="s">
        <v>578</v>
      </c>
      <c r="P100" s="54">
        <v>5.9499999999999997E-2</v>
      </c>
      <c r="Q100" s="54">
        <f t="shared" si="5"/>
        <v>4.76</v>
      </c>
      <c r="R100" s="48"/>
      <c r="S100" s="48"/>
    </row>
    <row r="101" spans="1:19" ht="24.75" thickBot="1" x14ac:dyDescent="0.3">
      <c r="A101" s="1"/>
      <c r="B101" s="38">
        <f>ROW(B101) - ROW($B$9)</f>
        <v>92</v>
      </c>
      <c r="C101" s="66" t="s">
        <v>473</v>
      </c>
      <c r="D101" s="67" t="s">
        <v>92</v>
      </c>
      <c r="E101" s="68" t="s">
        <v>202</v>
      </c>
      <c r="F101" s="67" t="s">
        <v>580</v>
      </c>
      <c r="G101" s="68" t="s">
        <v>260</v>
      </c>
      <c r="H101" s="67" t="s">
        <v>388</v>
      </c>
      <c r="I101" s="67" t="s">
        <v>484</v>
      </c>
      <c r="J101" s="67" t="s">
        <v>484</v>
      </c>
      <c r="K101" s="67" t="s">
        <v>484</v>
      </c>
      <c r="L101" s="68">
        <v>1</v>
      </c>
      <c r="M101" s="67">
        <f t="shared" si="4"/>
        <v>10</v>
      </c>
      <c r="N101" s="67">
        <v>11</v>
      </c>
      <c r="O101" s="69" t="s">
        <v>625</v>
      </c>
      <c r="P101" s="70">
        <v>0.3</v>
      </c>
      <c r="Q101" s="70">
        <f t="shared" si="5"/>
        <v>3.3</v>
      </c>
      <c r="R101" s="79" t="s">
        <v>624</v>
      </c>
      <c r="S101" s="78"/>
    </row>
    <row r="102" spans="1:19" ht="24.75" thickBot="1" x14ac:dyDescent="0.3">
      <c r="A102" s="1"/>
      <c r="B102" s="38">
        <f t="shared" si="0"/>
        <v>93</v>
      </c>
      <c r="C102" s="60" t="s">
        <v>473</v>
      </c>
      <c r="D102" s="46" t="s">
        <v>93</v>
      </c>
      <c r="E102" s="47" t="s">
        <v>202</v>
      </c>
      <c r="F102" s="46" t="s">
        <v>580</v>
      </c>
      <c r="G102" s="47" t="s">
        <v>261</v>
      </c>
      <c r="H102" s="46" t="s">
        <v>388</v>
      </c>
      <c r="I102" s="46" t="s">
        <v>484</v>
      </c>
      <c r="J102" s="46" t="s">
        <v>563</v>
      </c>
      <c r="K102" s="46" t="s">
        <v>484</v>
      </c>
      <c r="L102" s="47">
        <v>1</v>
      </c>
      <c r="M102" s="46">
        <f t="shared" si="4"/>
        <v>10</v>
      </c>
      <c r="N102" s="46">
        <v>12</v>
      </c>
      <c r="O102" s="62" t="s">
        <v>578</v>
      </c>
      <c r="P102" s="54">
        <v>0.56289999999999996</v>
      </c>
      <c r="Q102" s="54">
        <f t="shared" si="5"/>
        <v>6.7547999999999995</v>
      </c>
      <c r="R102" s="48"/>
      <c r="S102" s="48"/>
    </row>
    <row r="103" spans="1:19" ht="24.75" thickBot="1" x14ac:dyDescent="0.3">
      <c r="A103" s="1"/>
      <c r="B103" s="38">
        <f>ROW(B103) - ROW($B$9)</f>
        <v>94</v>
      </c>
      <c r="C103" s="61" t="s">
        <v>473</v>
      </c>
      <c r="D103" s="50" t="s">
        <v>94</v>
      </c>
      <c r="E103" s="51" t="s">
        <v>203</v>
      </c>
      <c r="F103" s="50" t="s">
        <v>262</v>
      </c>
      <c r="G103" s="51" t="s">
        <v>338</v>
      </c>
      <c r="H103" s="50" t="s">
        <v>389</v>
      </c>
      <c r="I103" s="50" t="s">
        <v>484</v>
      </c>
      <c r="J103" s="50" t="s">
        <v>564</v>
      </c>
      <c r="K103" s="50" t="s">
        <v>484</v>
      </c>
      <c r="L103" s="51">
        <v>2</v>
      </c>
      <c r="M103" s="50">
        <f t="shared" si="4"/>
        <v>20</v>
      </c>
      <c r="N103" s="50">
        <v>22</v>
      </c>
      <c r="O103" s="63" t="s">
        <v>578</v>
      </c>
      <c r="P103" s="55">
        <v>0.15479999999999999</v>
      </c>
      <c r="Q103" s="55">
        <f t="shared" si="5"/>
        <v>3.4055999999999997</v>
      </c>
      <c r="R103" s="52"/>
      <c r="S103" s="53"/>
    </row>
    <row r="104" spans="1:19" ht="15.75" thickBot="1" x14ac:dyDescent="0.3">
      <c r="A104" s="1"/>
      <c r="B104" s="38">
        <f t="shared" si="0"/>
        <v>95</v>
      </c>
      <c r="C104" s="60" t="s">
        <v>473</v>
      </c>
      <c r="D104" s="46" t="s">
        <v>95</v>
      </c>
      <c r="E104" s="47" t="s">
        <v>204</v>
      </c>
      <c r="F104" s="46" t="s">
        <v>487</v>
      </c>
      <c r="G104" s="47" t="s">
        <v>263</v>
      </c>
      <c r="H104" s="46" t="s">
        <v>390</v>
      </c>
      <c r="I104" s="46" t="s">
        <v>484</v>
      </c>
      <c r="J104" s="46" t="s">
        <v>565</v>
      </c>
      <c r="K104" s="46" t="s">
        <v>484</v>
      </c>
      <c r="L104" s="47">
        <v>1</v>
      </c>
      <c r="M104" s="46">
        <f t="shared" si="4"/>
        <v>10</v>
      </c>
      <c r="N104" s="46">
        <v>11</v>
      </c>
      <c r="O104" s="62" t="s">
        <v>578</v>
      </c>
      <c r="P104" s="54">
        <v>0.15559999999999999</v>
      </c>
      <c r="Q104" s="54">
        <f t="shared" si="5"/>
        <v>1.7115999999999998</v>
      </c>
      <c r="R104" s="48"/>
      <c r="S104" s="48"/>
    </row>
    <row r="105" spans="1:19" ht="24.75" thickBot="1" x14ac:dyDescent="0.3">
      <c r="A105" s="1"/>
      <c r="B105" s="38">
        <f>ROW(B105) - ROW($B$9)</f>
        <v>96</v>
      </c>
      <c r="C105" s="61" t="s">
        <v>473</v>
      </c>
      <c r="D105" s="50" t="s">
        <v>96</v>
      </c>
      <c r="E105" s="51" t="s">
        <v>205</v>
      </c>
      <c r="F105" s="50" t="s">
        <v>262</v>
      </c>
      <c r="G105" s="51" t="s">
        <v>339</v>
      </c>
      <c r="H105" s="50" t="s">
        <v>391</v>
      </c>
      <c r="I105" s="50" t="s">
        <v>484</v>
      </c>
      <c r="J105" s="50" t="s">
        <v>566</v>
      </c>
      <c r="K105" s="50" t="s">
        <v>484</v>
      </c>
      <c r="L105" s="51">
        <v>1</v>
      </c>
      <c r="M105" s="50">
        <f t="shared" si="4"/>
        <v>10</v>
      </c>
      <c r="N105" s="50">
        <v>12</v>
      </c>
      <c r="O105" s="63" t="s">
        <v>578</v>
      </c>
      <c r="P105" s="55">
        <v>0.19189999999999999</v>
      </c>
      <c r="Q105" s="55">
        <f t="shared" si="5"/>
        <v>2.3028</v>
      </c>
      <c r="R105" s="52"/>
      <c r="S105" s="53"/>
    </row>
    <row r="106" spans="1:19" ht="15.75" thickBot="1" x14ac:dyDescent="0.3">
      <c r="A106" s="1"/>
      <c r="B106" s="38">
        <f t="shared" si="0"/>
        <v>97</v>
      </c>
      <c r="C106" s="60" t="s">
        <v>473</v>
      </c>
      <c r="D106" s="46" t="s">
        <v>97</v>
      </c>
      <c r="E106" s="47" t="s">
        <v>206</v>
      </c>
      <c r="F106" s="46" t="s">
        <v>262</v>
      </c>
      <c r="G106" s="47" t="s">
        <v>340</v>
      </c>
      <c r="H106" s="46" t="s">
        <v>392</v>
      </c>
      <c r="I106" s="46" t="s">
        <v>484</v>
      </c>
      <c r="J106" s="46" t="s">
        <v>567</v>
      </c>
      <c r="K106" s="46" t="s">
        <v>484</v>
      </c>
      <c r="L106" s="47">
        <v>1</v>
      </c>
      <c r="M106" s="46">
        <f t="shared" si="4"/>
        <v>10</v>
      </c>
      <c r="N106" s="46">
        <v>15</v>
      </c>
      <c r="O106" s="62" t="s">
        <v>578</v>
      </c>
      <c r="P106" s="54">
        <v>0.13039999999999999</v>
      </c>
      <c r="Q106" s="54">
        <f t="shared" si="5"/>
        <v>1.9559999999999997</v>
      </c>
      <c r="R106" s="48"/>
      <c r="S106" s="48"/>
    </row>
    <row r="107" spans="1:19" ht="24.75" thickBot="1" x14ac:dyDescent="0.3">
      <c r="A107" s="1"/>
      <c r="B107" s="38">
        <f>ROW(B107) - ROW($B$9)</f>
        <v>98</v>
      </c>
      <c r="C107" s="61" t="s">
        <v>473</v>
      </c>
      <c r="D107" s="50" t="s">
        <v>98</v>
      </c>
      <c r="E107" s="51" t="s">
        <v>207</v>
      </c>
      <c r="F107" s="50" t="s">
        <v>262</v>
      </c>
      <c r="G107" s="51" t="s">
        <v>341</v>
      </c>
      <c r="H107" s="50" t="s">
        <v>391</v>
      </c>
      <c r="I107" s="50" t="s">
        <v>484</v>
      </c>
      <c r="J107" s="50" t="s">
        <v>568</v>
      </c>
      <c r="K107" s="50" t="s">
        <v>484</v>
      </c>
      <c r="L107" s="51">
        <v>1</v>
      </c>
      <c r="M107" s="50">
        <f t="shared" si="4"/>
        <v>10</v>
      </c>
      <c r="N107" s="50">
        <v>12</v>
      </c>
      <c r="O107" s="63" t="s">
        <v>578</v>
      </c>
      <c r="P107" s="55">
        <v>0.31850000000000001</v>
      </c>
      <c r="Q107" s="55">
        <f t="shared" si="5"/>
        <v>3.8220000000000001</v>
      </c>
      <c r="R107" s="52"/>
      <c r="S107" s="53"/>
    </row>
    <row r="108" spans="1:19" ht="24.75" thickBot="1" x14ac:dyDescent="0.3">
      <c r="A108" s="1"/>
      <c r="B108" s="38">
        <f t="shared" si="0"/>
        <v>99</v>
      </c>
      <c r="C108" s="71" t="s">
        <v>473</v>
      </c>
      <c r="D108" s="72" t="s">
        <v>99</v>
      </c>
      <c r="E108" s="73" t="s">
        <v>610</v>
      </c>
      <c r="F108" s="72" t="s">
        <v>264</v>
      </c>
      <c r="G108" s="73" t="s">
        <v>342</v>
      </c>
      <c r="H108" s="72" t="s">
        <v>393</v>
      </c>
      <c r="I108" s="72" t="s">
        <v>484</v>
      </c>
      <c r="J108" s="72" t="s">
        <v>484</v>
      </c>
      <c r="K108" s="72" t="s">
        <v>484</v>
      </c>
      <c r="L108" s="73">
        <v>1</v>
      </c>
      <c r="M108" s="72">
        <f t="shared" si="4"/>
        <v>10</v>
      </c>
      <c r="N108" s="72">
        <v>11</v>
      </c>
      <c r="O108" s="81" t="s">
        <v>625</v>
      </c>
      <c r="P108" s="74">
        <v>1.96</v>
      </c>
      <c r="Q108" s="74">
        <f t="shared" si="5"/>
        <v>21.56</v>
      </c>
      <c r="R108" s="79" t="s">
        <v>624</v>
      </c>
      <c r="S108" s="75"/>
    </row>
    <row r="109" spans="1:19" ht="24.75" thickBot="1" x14ac:dyDescent="0.3">
      <c r="A109" s="1"/>
      <c r="B109" s="38">
        <f>ROW(B109) - ROW($B$9)</f>
        <v>100</v>
      </c>
      <c r="C109" s="66" t="s">
        <v>473</v>
      </c>
      <c r="D109" s="67" t="s">
        <v>100</v>
      </c>
      <c r="E109" s="68" t="s">
        <v>611</v>
      </c>
      <c r="F109" s="67" t="s">
        <v>607</v>
      </c>
      <c r="G109" s="68" t="s">
        <v>265</v>
      </c>
      <c r="H109" s="67" t="s">
        <v>394</v>
      </c>
      <c r="I109" s="67" t="s">
        <v>484</v>
      </c>
      <c r="J109" s="67" t="s">
        <v>484</v>
      </c>
      <c r="K109" s="67" t="s">
        <v>484</v>
      </c>
      <c r="L109" s="68">
        <v>1</v>
      </c>
      <c r="M109" s="67">
        <f t="shared" si="4"/>
        <v>10</v>
      </c>
      <c r="N109" s="67">
        <v>11</v>
      </c>
      <c r="O109" s="69" t="s">
        <v>625</v>
      </c>
      <c r="P109" s="70">
        <v>20.83</v>
      </c>
      <c r="Q109" s="70">
        <f t="shared" si="5"/>
        <v>229.13</v>
      </c>
      <c r="R109" s="79" t="s">
        <v>624</v>
      </c>
      <c r="S109" s="78"/>
    </row>
    <row r="110" spans="1:19" ht="24.75" thickBot="1" x14ac:dyDescent="0.3">
      <c r="A110" s="1"/>
      <c r="B110" s="38">
        <f t="shared" si="0"/>
        <v>101</v>
      </c>
      <c r="C110" s="60" t="s">
        <v>473</v>
      </c>
      <c r="D110" s="46" t="s">
        <v>101</v>
      </c>
      <c r="E110" s="47" t="s">
        <v>208</v>
      </c>
      <c r="F110" s="46" t="s">
        <v>262</v>
      </c>
      <c r="G110" s="47" t="s">
        <v>343</v>
      </c>
      <c r="H110" s="46" t="s">
        <v>395</v>
      </c>
      <c r="I110" s="46" t="s">
        <v>484</v>
      </c>
      <c r="J110" s="46" t="s">
        <v>569</v>
      </c>
      <c r="K110" s="46" t="s">
        <v>484</v>
      </c>
      <c r="L110" s="47">
        <v>2</v>
      </c>
      <c r="M110" s="46">
        <f t="shared" si="4"/>
        <v>20</v>
      </c>
      <c r="N110" s="46">
        <v>25</v>
      </c>
      <c r="O110" s="62" t="s">
        <v>578</v>
      </c>
      <c r="P110" s="54">
        <v>0.1409</v>
      </c>
      <c r="Q110" s="54">
        <f t="shared" si="5"/>
        <v>3.5225</v>
      </c>
      <c r="R110" s="48"/>
      <c r="S110" s="48"/>
    </row>
    <row r="111" spans="1:19" ht="36.75" thickBot="1" x14ac:dyDescent="0.3">
      <c r="A111" s="1"/>
      <c r="B111" s="38">
        <f>ROW(B111) - ROW($B$9)</f>
        <v>102</v>
      </c>
      <c r="C111" s="61" t="s">
        <v>473</v>
      </c>
      <c r="D111" s="50" t="s">
        <v>102</v>
      </c>
      <c r="E111" s="51" t="s">
        <v>209</v>
      </c>
      <c r="F111" s="50" t="s">
        <v>266</v>
      </c>
      <c r="G111" s="51" t="s">
        <v>344</v>
      </c>
      <c r="H111" s="50" t="s">
        <v>360</v>
      </c>
      <c r="I111" s="50" t="s">
        <v>484</v>
      </c>
      <c r="J111" s="50" t="s">
        <v>570</v>
      </c>
      <c r="K111" s="50" t="s">
        <v>484</v>
      </c>
      <c r="L111" s="51">
        <v>1</v>
      </c>
      <c r="M111" s="50">
        <f t="shared" si="4"/>
        <v>10</v>
      </c>
      <c r="N111" s="50">
        <v>11</v>
      </c>
      <c r="O111" s="63" t="s">
        <v>578</v>
      </c>
      <c r="P111" s="55">
        <v>0.86409999999999998</v>
      </c>
      <c r="Q111" s="55">
        <f t="shared" si="5"/>
        <v>9.5051000000000005</v>
      </c>
      <c r="R111" s="52"/>
      <c r="S111" s="53"/>
    </row>
    <row r="112" spans="1:19" ht="15.75" thickBot="1" x14ac:dyDescent="0.3">
      <c r="A112" s="1"/>
      <c r="B112" s="38">
        <f t="shared" si="0"/>
        <v>103</v>
      </c>
      <c r="C112" s="60" t="s">
        <v>473</v>
      </c>
      <c r="D112" s="46" t="s">
        <v>103</v>
      </c>
      <c r="E112" s="47" t="s">
        <v>210</v>
      </c>
      <c r="F112" s="46" t="s">
        <v>267</v>
      </c>
      <c r="G112" s="47" t="s">
        <v>345</v>
      </c>
      <c r="H112" s="46" t="s">
        <v>396</v>
      </c>
      <c r="I112" s="46" t="s">
        <v>484</v>
      </c>
      <c r="J112" s="46" t="s">
        <v>571</v>
      </c>
      <c r="K112" s="46" t="s">
        <v>484</v>
      </c>
      <c r="L112" s="47">
        <v>1</v>
      </c>
      <c r="M112" s="46">
        <f t="shared" si="4"/>
        <v>10</v>
      </c>
      <c r="N112" s="46">
        <v>11</v>
      </c>
      <c r="O112" s="62" t="s">
        <v>578</v>
      </c>
      <c r="P112" s="54">
        <v>6.2104999999999997</v>
      </c>
      <c r="Q112" s="54">
        <f t="shared" si="5"/>
        <v>68.3155</v>
      </c>
      <c r="R112" s="48"/>
      <c r="S112" s="48"/>
    </row>
    <row r="113" spans="1:19" ht="24.75" thickBot="1" x14ac:dyDescent="0.3">
      <c r="A113" s="1"/>
      <c r="B113" s="38">
        <f>ROW(B113) - ROW($B$9)</f>
        <v>104</v>
      </c>
      <c r="C113" s="61" t="s">
        <v>473</v>
      </c>
      <c r="D113" s="50" t="s">
        <v>104</v>
      </c>
      <c r="E113" s="51" t="s">
        <v>211</v>
      </c>
      <c r="F113" s="50" t="s">
        <v>268</v>
      </c>
      <c r="G113" s="51" t="s">
        <v>346</v>
      </c>
      <c r="H113" s="50" t="s">
        <v>397</v>
      </c>
      <c r="I113" s="50" t="s">
        <v>484</v>
      </c>
      <c r="J113" s="50" t="s">
        <v>572</v>
      </c>
      <c r="K113" s="50" t="s">
        <v>484</v>
      </c>
      <c r="L113" s="51">
        <v>1</v>
      </c>
      <c r="M113" s="50">
        <f t="shared" si="4"/>
        <v>10</v>
      </c>
      <c r="N113" s="50">
        <v>11</v>
      </c>
      <c r="O113" s="63" t="s">
        <v>578</v>
      </c>
      <c r="P113" s="55">
        <v>14.836</v>
      </c>
      <c r="Q113" s="55">
        <f t="shared" si="5"/>
        <v>163.196</v>
      </c>
      <c r="R113" s="52"/>
      <c r="S113" s="53"/>
    </row>
    <row r="114" spans="1:19" ht="15.75" thickBot="1" x14ac:dyDescent="0.3">
      <c r="A114" s="1"/>
      <c r="B114" s="38">
        <f t="shared" si="0"/>
        <v>105</v>
      </c>
      <c r="C114" s="60" t="s">
        <v>473</v>
      </c>
      <c r="D114" s="46" t="s">
        <v>105</v>
      </c>
      <c r="E114" s="47" t="s">
        <v>212</v>
      </c>
      <c r="F114" s="46" t="s">
        <v>269</v>
      </c>
      <c r="G114" s="47" t="s">
        <v>347</v>
      </c>
      <c r="H114" s="46" t="s">
        <v>398</v>
      </c>
      <c r="I114" s="46" t="s">
        <v>484</v>
      </c>
      <c r="J114" s="46" t="s">
        <v>573</v>
      </c>
      <c r="K114" s="46" t="s">
        <v>484</v>
      </c>
      <c r="L114" s="47">
        <v>1</v>
      </c>
      <c r="M114" s="46">
        <f t="shared" si="4"/>
        <v>10</v>
      </c>
      <c r="N114" s="46">
        <v>11</v>
      </c>
      <c r="O114" s="62" t="s">
        <v>578</v>
      </c>
      <c r="P114" s="54">
        <v>13.6875</v>
      </c>
      <c r="Q114" s="54">
        <f t="shared" si="5"/>
        <v>150.5625</v>
      </c>
      <c r="R114" s="48"/>
      <c r="S114" s="48"/>
    </row>
    <row r="115" spans="1:19" ht="24.75" thickBot="1" x14ac:dyDescent="0.3">
      <c r="A115" s="1"/>
      <c r="B115" s="38">
        <f>ROW(B115) - ROW($B$9)</f>
        <v>106</v>
      </c>
      <c r="C115" s="66" t="s">
        <v>473</v>
      </c>
      <c r="D115" s="67" t="s">
        <v>106</v>
      </c>
      <c r="E115" s="68" t="s">
        <v>213</v>
      </c>
      <c r="F115" s="67" t="s">
        <v>486</v>
      </c>
      <c r="G115" s="68" t="s">
        <v>270</v>
      </c>
      <c r="H115" s="67" t="s">
        <v>399</v>
      </c>
      <c r="I115" s="67" t="s">
        <v>484</v>
      </c>
      <c r="J115" s="67" t="s">
        <v>484</v>
      </c>
      <c r="K115" s="67" t="s">
        <v>484</v>
      </c>
      <c r="L115" s="68">
        <v>1</v>
      </c>
      <c r="M115" s="67">
        <f t="shared" si="4"/>
        <v>10</v>
      </c>
      <c r="N115" s="67">
        <v>11</v>
      </c>
      <c r="O115" s="69" t="s">
        <v>625</v>
      </c>
      <c r="P115" s="70">
        <v>17.5</v>
      </c>
      <c r="Q115" s="70">
        <f t="shared" si="5"/>
        <v>192.5</v>
      </c>
      <c r="R115" s="79" t="s">
        <v>624</v>
      </c>
      <c r="S115" s="78"/>
    </row>
    <row r="116" spans="1:19" ht="15.75" thickBot="1" x14ac:dyDescent="0.3">
      <c r="A116" s="1"/>
      <c r="B116" s="38">
        <f t="shared" si="0"/>
        <v>107</v>
      </c>
      <c r="C116" s="60" t="s">
        <v>474</v>
      </c>
      <c r="D116" s="46" t="s">
        <v>107</v>
      </c>
      <c r="E116" s="47" t="s">
        <v>214</v>
      </c>
      <c r="F116" s="46" t="s">
        <v>486</v>
      </c>
      <c r="G116" s="47" t="s">
        <v>271</v>
      </c>
      <c r="H116" s="46" t="s">
        <v>400</v>
      </c>
      <c r="I116" s="46" t="s">
        <v>484</v>
      </c>
      <c r="J116" s="46" t="s">
        <v>605</v>
      </c>
      <c r="K116" s="46" t="s">
        <v>484</v>
      </c>
      <c r="L116" s="47">
        <v>2</v>
      </c>
      <c r="M116" s="46">
        <f t="shared" si="4"/>
        <v>20</v>
      </c>
      <c r="N116" s="46">
        <v>22</v>
      </c>
      <c r="O116" s="62" t="s">
        <v>578</v>
      </c>
      <c r="P116" s="54">
        <v>0.34949999999999998</v>
      </c>
      <c r="Q116" s="54">
        <f t="shared" si="5"/>
        <v>7.6889999999999992</v>
      </c>
      <c r="R116" s="48"/>
      <c r="S116" s="48"/>
    </row>
    <row r="117" spans="1:19" ht="36.75" thickBot="1" x14ac:dyDescent="0.3">
      <c r="A117" s="1"/>
      <c r="B117" s="38">
        <f>ROW(B117) - ROW($B$9)</f>
        <v>108</v>
      </c>
      <c r="C117" s="61" t="s">
        <v>474</v>
      </c>
      <c r="D117" s="50" t="s">
        <v>108</v>
      </c>
      <c r="E117" s="51" t="s">
        <v>215</v>
      </c>
      <c r="F117" s="50" t="s">
        <v>486</v>
      </c>
      <c r="G117" s="51" t="s">
        <v>272</v>
      </c>
      <c r="H117" s="50" t="s">
        <v>401</v>
      </c>
      <c r="I117" s="50" t="s">
        <v>484</v>
      </c>
      <c r="J117" s="50" t="s">
        <v>574</v>
      </c>
      <c r="K117" s="50" t="s">
        <v>452</v>
      </c>
      <c r="L117" s="51">
        <v>1</v>
      </c>
      <c r="M117" s="50">
        <f t="shared" si="4"/>
        <v>10</v>
      </c>
      <c r="N117" s="50">
        <v>15</v>
      </c>
      <c r="O117" s="63" t="s">
        <v>578</v>
      </c>
      <c r="P117" s="55">
        <v>8.6499999999999994E-2</v>
      </c>
      <c r="Q117" s="55">
        <f t="shared" si="5"/>
        <v>1.2974999999999999</v>
      </c>
      <c r="R117" s="52"/>
      <c r="S117" s="53"/>
    </row>
    <row r="118" spans="1:19" ht="36.75" thickBot="1" x14ac:dyDescent="0.3">
      <c r="A118" s="1"/>
      <c r="B118" s="38">
        <f t="shared" si="0"/>
        <v>109</v>
      </c>
      <c r="C118" s="60" t="s">
        <v>474</v>
      </c>
      <c r="D118" s="46" t="s">
        <v>109</v>
      </c>
      <c r="E118" s="47" t="s">
        <v>216</v>
      </c>
      <c r="F118" s="46" t="s">
        <v>486</v>
      </c>
      <c r="G118" s="47" t="s">
        <v>273</v>
      </c>
      <c r="H118" s="46" t="s">
        <v>402</v>
      </c>
      <c r="I118" s="46" t="s">
        <v>484</v>
      </c>
      <c r="J118" s="46" t="s">
        <v>575</v>
      </c>
      <c r="K118" s="46" t="s">
        <v>453</v>
      </c>
      <c r="L118" s="47">
        <v>1</v>
      </c>
      <c r="M118" s="46">
        <f t="shared" si="4"/>
        <v>10</v>
      </c>
      <c r="N118" s="46">
        <v>11</v>
      </c>
      <c r="O118" s="62" t="s">
        <v>578</v>
      </c>
      <c r="P118" s="54">
        <v>0.1618</v>
      </c>
      <c r="Q118" s="54">
        <f t="shared" si="5"/>
        <v>1.7798</v>
      </c>
      <c r="R118" s="48"/>
      <c r="S118" s="48"/>
    </row>
    <row r="119" spans="1:19" ht="36.75" thickBot="1" x14ac:dyDescent="0.3">
      <c r="A119" s="1"/>
      <c r="B119" s="38">
        <f>ROW(B119) - ROW($B$9)</f>
        <v>110</v>
      </c>
      <c r="C119" s="61" t="s">
        <v>474</v>
      </c>
      <c r="D119" s="50" t="s">
        <v>110</v>
      </c>
      <c r="E119" s="51" t="s">
        <v>217</v>
      </c>
      <c r="F119" s="50" t="s">
        <v>486</v>
      </c>
      <c r="G119" s="51" t="s">
        <v>274</v>
      </c>
      <c r="H119" s="50" t="s">
        <v>577</v>
      </c>
      <c r="I119" s="50" t="s">
        <v>484</v>
      </c>
      <c r="J119" s="50" t="s">
        <v>576</v>
      </c>
      <c r="K119" s="50" t="s">
        <v>454</v>
      </c>
      <c r="L119" s="51">
        <v>1</v>
      </c>
      <c r="M119" s="50">
        <f t="shared" si="4"/>
        <v>10</v>
      </c>
      <c r="N119" s="50">
        <v>11</v>
      </c>
      <c r="O119" s="63" t="s">
        <v>578</v>
      </c>
      <c r="P119" s="55">
        <v>0.24360000000000001</v>
      </c>
      <c r="Q119" s="55">
        <f t="shared" si="5"/>
        <v>2.6796000000000002</v>
      </c>
      <c r="R119" s="52"/>
      <c r="S119" s="53"/>
    </row>
    <row r="120" spans="1:19" ht="19.5" thickBot="1" x14ac:dyDescent="0.3">
      <c r="A120" s="1"/>
      <c r="B120" s="33"/>
      <c r="C120" s="44"/>
      <c r="D120" s="34"/>
      <c r="E120" s="35"/>
      <c r="F120" s="36"/>
      <c r="G120" s="37"/>
      <c r="H120" s="36"/>
      <c r="I120" s="37"/>
      <c r="J120" s="36"/>
      <c r="K120" s="37"/>
      <c r="L120" s="37"/>
      <c r="M120" s="37"/>
      <c r="N120" s="91" t="s">
        <v>615</v>
      </c>
      <c r="O120" s="92"/>
      <c r="P120" s="92"/>
      <c r="Q120" s="76">
        <f>SUM(Q10:Q119)</f>
        <v>1015.2429000000001</v>
      </c>
      <c r="R120" s="87"/>
      <c r="S120" s="88"/>
    </row>
    <row r="121" spans="1:19" ht="19.5" thickBot="1" x14ac:dyDescent="0.3">
      <c r="A121" s="1"/>
      <c r="B121" s="25"/>
      <c r="C121" s="45"/>
      <c r="D121" s="9"/>
      <c r="E121" s="10"/>
      <c r="F121" s="10"/>
      <c r="G121" s="10"/>
      <c r="H121" s="10"/>
      <c r="I121" s="10"/>
      <c r="J121" s="10"/>
      <c r="K121" s="10"/>
      <c r="L121" s="10"/>
      <c r="M121" s="10"/>
      <c r="N121" s="91" t="s">
        <v>616</v>
      </c>
      <c r="O121" s="92"/>
      <c r="P121" s="92"/>
      <c r="Q121" s="77">
        <f>Q120/10</f>
        <v>101.52429000000001</v>
      </c>
      <c r="R121" s="89"/>
      <c r="S121" s="90"/>
    </row>
  </sheetData>
  <mergeCells count="5">
    <mergeCell ref="K1:S1"/>
    <mergeCell ref="S3:S8"/>
    <mergeCell ref="R120:S121"/>
    <mergeCell ref="N120:P120"/>
    <mergeCell ref="N121:P121"/>
  </mergeCells>
  <hyperlinks>
    <hyperlink ref="O10" r:id="rId1" xr:uid="{B7A1A68F-0B0E-4A1B-AE90-B43B34871747}"/>
    <hyperlink ref="O11" r:id="rId2" xr:uid="{08B65100-6E26-4C35-9CFB-CA05FA45E066}"/>
    <hyperlink ref="O12" r:id="rId3" xr:uid="{CD5847CE-C2E1-4DEE-9133-96EE1D7E73A5}"/>
    <hyperlink ref="O13" r:id="rId4" xr:uid="{529A11E0-DC82-496E-B386-D6CF8356EF52}"/>
    <hyperlink ref="O14" r:id="rId5" xr:uid="{AF810421-8FD4-4E99-993D-F53DC2CA12C7}"/>
    <hyperlink ref="O15" r:id="rId6" xr:uid="{04A4C16C-FCAF-4149-9680-A1BAF91D05D5}"/>
    <hyperlink ref="O17" r:id="rId7" xr:uid="{DA516846-222B-4336-BB17-7DC2A9E6A9B6}"/>
    <hyperlink ref="O18" r:id="rId8" xr:uid="{97DB6C90-D1E3-4816-A002-907703594691}"/>
    <hyperlink ref="O19" r:id="rId9" xr:uid="{F1D37E22-3471-4FB9-8174-628E9AB45E78}"/>
    <hyperlink ref="O20" r:id="rId10" xr:uid="{50A6DB20-A701-4CF0-A545-4CA4283988D0}"/>
    <hyperlink ref="O21" r:id="rId11" xr:uid="{5E57B05C-6375-45A6-BD95-39F5CA862277}"/>
    <hyperlink ref="O22" r:id="rId12" xr:uid="{17A40005-DB53-47AF-8EF6-B32F5CFF2881}"/>
    <hyperlink ref="O23" r:id="rId13" xr:uid="{633CF1F9-B1BA-4068-BF2D-2281986931D4}"/>
    <hyperlink ref="O24" r:id="rId14" xr:uid="{B8E94BC5-5972-407A-8377-5E071AD0F703}"/>
    <hyperlink ref="O26" r:id="rId15" xr:uid="{507C6956-4B7D-4664-9A90-B8372A7F49C6}"/>
    <hyperlink ref="O28" r:id="rId16" xr:uid="{040F73E0-350C-481A-9C70-D96A4C4B941D}"/>
    <hyperlink ref="O29" r:id="rId17" xr:uid="{C3D98B3B-9C8C-4433-8658-5ADA6ABF5486}"/>
    <hyperlink ref="O30" r:id="rId18" xr:uid="{2C841FFC-1A64-4162-B3C8-2776D172FC86}"/>
    <hyperlink ref="O31" r:id="rId19" xr:uid="{22809376-AE3F-43F0-9961-9CBC320980D1}"/>
    <hyperlink ref="O32" r:id="rId20" xr:uid="{53CCD766-DF00-488B-BB26-1EB9A02A9947}"/>
    <hyperlink ref="O33" r:id="rId21" xr:uid="{9AD90E64-527B-47EE-9217-5E9F783F7FEA}"/>
    <hyperlink ref="O34" r:id="rId22" xr:uid="{D0981FD6-EF01-4A90-84C2-1B4224646EB3}"/>
    <hyperlink ref="O35" r:id="rId23" xr:uid="{0596E607-B59F-4BF7-A150-BD4A608FBA30}"/>
    <hyperlink ref="O36" r:id="rId24" xr:uid="{9369B8B9-00DA-4899-B2BB-5493C4146AD0}"/>
    <hyperlink ref="O37" r:id="rId25" xr:uid="{59B33CB2-32FA-414B-B89E-FE00821610BE}"/>
    <hyperlink ref="O39" r:id="rId26" xr:uid="{4ED31EA2-43C2-4A18-B899-478CB13AFC3C}"/>
    <hyperlink ref="O40" r:id="rId27" xr:uid="{73EA07EA-CBAC-448B-A3CB-5A16A63AF35E}"/>
    <hyperlink ref="O41" r:id="rId28" xr:uid="{88D662D8-8785-4434-B15D-4E8C4F3EEA50}"/>
    <hyperlink ref="O42" r:id="rId29" xr:uid="{0736944E-25E1-47C7-A284-3AF445BDDEC4}"/>
    <hyperlink ref="O43" r:id="rId30" xr:uid="{C5623F69-96D0-4E84-9ACE-21D31C72A65C}"/>
    <hyperlink ref="O44" r:id="rId31" xr:uid="{58FE455F-C3FA-4EB8-8EAC-3A02B8DBDA77}"/>
    <hyperlink ref="O45" r:id="rId32" xr:uid="{F69FF1A3-959B-4BD6-9FF7-7F156D59EE80}"/>
    <hyperlink ref="O46" r:id="rId33" xr:uid="{5D26679B-0026-4240-A518-B13C9E6B7069}"/>
    <hyperlink ref="O47" r:id="rId34" xr:uid="{2EB48FC3-99DC-4BBF-B6FC-F3D22DE385BC}"/>
    <hyperlink ref="O48" r:id="rId35" xr:uid="{003CF086-F6E9-440C-84C0-ABD6B9415E3D}"/>
    <hyperlink ref="O49" r:id="rId36" xr:uid="{D80C4C15-7ADF-4FD3-9887-87141BFD4C26}"/>
    <hyperlink ref="O50" r:id="rId37" xr:uid="{ED209F90-3C6A-4B56-91BD-6DF8FA3CD930}"/>
    <hyperlink ref="O51" r:id="rId38" xr:uid="{B223984A-492E-4809-856B-F67D1B94F8A3}"/>
    <hyperlink ref="O52" r:id="rId39" xr:uid="{929777A1-2F99-41A8-8132-016C4A7F845F}"/>
    <hyperlink ref="O53" r:id="rId40" xr:uid="{88751E45-DCD3-4169-A9FB-09CAAE6E4973}"/>
    <hyperlink ref="O54" r:id="rId41" xr:uid="{A9865EDE-7B26-46FC-B242-C78239DC244A}"/>
    <hyperlink ref="O55" r:id="rId42" xr:uid="{8AE03B2C-DA4E-4258-9E8F-F1758E5502D7}"/>
    <hyperlink ref="O64" r:id="rId43" xr:uid="{A21BC2E0-98A3-44E5-BF8E-49BB462BA5D1}"/>
    <hyperlink ref="O65" r:id="rId44" xr:uid="{455F4891-4516-4CBA-BD6F-013DFCCD3D58}"/>
    <hyperlink ref="O66" r:id="rId45" xr:uid="{4A7AEA33-65C3-43F7-956B-65D01DCCF0CA}"/>
    <hyperlink ref="O67" r:id="rId46" xr:uid="{4D5327EB-8B79-415B-B31F-4D004758625D}"/>
    <hyperlink ref="O68" r:id="rId47" xr:uid="{118055AB-3AB2-4170-9480-C6464024B92F}"/>
    <hyperlink ref="O69" r:id="rId48" xr:uid="{E2044A4B-782F-42D5-A77E-00BADAF40C25}"/>
    <hyperlink ref="O70" r:id="rId49" xr:uid="{AD9E6F27-DCDA-4774-A5A3-6216BCB0132C}"/>
    <hyperlink ref="O71" r:id="rId50" xr:uid="{B03DB5A5-EC55-4E90-9297-1E55616745BB}"/>
    <hyperlink ref="O72" r:id="rId51" xr:uid="{66885914-C418-46B4-A8B7-E1853E0EA261}"/>
    <hyperlink ref="O73" r:id="rId52" xr:uid="{E3F1F988-8A3E-4428-8410-E8EB65147148}"/>
    <hyperlink ref="O76" r:id="rId53" xr:uid="{B71AF5AE-8319-4A4A-95B8-ECE2C28717A3}"/>
    <hyperlink ref="O77" r:id="rId54" xr:uid="{CC866F1C-5690-45D5-90AB-185836A0623D}"/>
    <hyperlink ref="O78" r:id="rId55" xr:uid="{6D8823CC-3B9D-453C-9380-FFE209F99C1A}"/>
    <hyperlink ref="O79" r:id="rId56" xr:uid="{B7B2F423-EFA9-49AF-B23D-CEC5AE251572}"/>
    <hyperlink ref="O80" r:id="rId57" xr:uid="{FA0DABD6-1935-4692-AEF8-CF59B2D677A6}"/>
    <hyperlink ref="O81" r:id="rId58" xr:uid="{323B8F22-54EE-4375-BE52-4A543A5FAD4E}"/>
    <hyperlink ref="O82" r:id="rId59" xr:uid="{37899005-DA8F-43FE-8E36-C7A6AA063BDD}"/>
    <hyperlink ref="O83" r:id="rId60" xr:uid="{80B2CAF8-B23F-462A-80CF-3D1858D16D3B}"/>
    <hyperlink ref="O84" r:id="rId61" xr:uid="{992AEE54-5B64-40F4-A2B3-574F391B1602}"/>
    <hyperlink ref="O85" r:id="rId62" xr:uid="{EBF4374D-044E-442E-95C7-7878F7423CC8}"/>
    <hyperlink ref="O86" r:id="rId63" xr:uid="{77FE1E69-D043-4DC0-BEF7-462049091FF5}"/>
    <hyperlink ref="O87" r:id="rId64" xr:uid="{9A8616DD-E59C-49F8-AD54-D218DFE34074}"/>
    <hyperlink ref="O88" r:id="rId65" xr:uid="{8CEC5A8E-4BEE-4846-944F-12AE32538F2E}"/>
    <hyperlink ref="O90" r:id="rId66" xr:uid="{DD7B35E1-75F7-4C11-BB7D-604B034EF910}"/>
    <hyperlink ref="O91" r:id="rId67" xr:uid="{FE353B74-8FE9-459E-B0EB-A8CFBB2F8373}"/>
    <hyperlink ref="O92" r:id="rId68" xr:uid="{292BBB7E-93B1-4CC1-8E72-3EDC58176D72}"/>
    <hyperlink ref="O93" r:id="rId69" xr:uid="{7BF663D6-03C4-4B0B-A10D-F6EC59CF36DC}"/>
    <hyperlink ref="O94" r:id="rId70" xr:uid="{CC050DF1-22D5-488E-8948-F92D7F362C07}"/>
    <hyperlink ref="O95" r:id="rId71" xr:uid="{183F3192-F10C-4579-9457-B13918996FBF}"/>
    <hyperlink ref="O96" r:id="rId72" xr:uid="{C935BD7C-2123-4782-99F2-8562F27B52A1}"/>
    <hyperlink ref="O97" r:id="rId73" xr:uid="{6C36ACA2-6136-4458-8C69-6B8684DE110C}"/>
    <hyperlink ref="O98" r:id="rId74" xr:uid="{C846A941-D2E3-4079-A6CB-4D9A86EBA547}"/>
    <hyperlink ref="O100" r:id="rId75" xr:uid="{74243D42-2655-4CFD-9DE8-557B18EF22A1}"/>
    <hyperlink ref="O102" r:id="rId76" xr:uid="{FCCD05AA-7672-402E-82C4-AE711BF3688A}"/>
    <hyperlink ref="O103" r:id="rId77" xr:uid="{0B6BEF9D-E6A4-4DBB-B338-A044225992CC}"/>
    <hyperlink ref="O104" r:id="rId78" xr:uid="{1A0D089F-9CCF-43A1-AF55-D708C3E70F72}"/>
    <hyperlink ref="O105" r:id="rId79" xr:uid="{F67D3515-5A97-40F3-8B15-536C9E294AF0}"/>
    <hyperlink ref="O106" r:id="rId80" xr:uid="{8DAE93A9-83E8-4AA9-8DAE-31F498300DB6}"/>
    <hyperlink ref="O107" r:id="rId81" xr:uid="{0C15A9C0-F89F-4163-A0C2-AD977D0CA53C}"/>
    <hyperlink ref="O110" r:id="rId82" xr:uid="{432CD297-647E-4C4B-8CEC-C8C3FAD90369}"/>
    <hyperlink ref="O111" r:id="rId83" xr:uid="{130B1F50-838A-4BB1-825A-C96B7F6D854D}"/>
    <hyperlink ref="O112" r:id="rId84" xr:uid="{D5858BD2-69C3-44A0-80C8-8F5CE81B7012}"/>
    <hyperlink ref="O113" r:id="rId85" xr:uid="{1BE3A564-5118-4C86-A82B-CB151E632443}"/>
    <hyperlink ref="O114" r:id="rId86" xr:uid="{446202AA-8838-4960-8C6C-5D711FAFDDC8}"/>
    <hyperlink ref="O117" r:id="rId87" xr:uid="{160AF3D9-80F0-470C-BC79-0C423FEF80E3}"/>
    <hyperlink ref="O118" r:id="rId88" xr:uid="{A26FAA12-9A00-4875-B15F-33C356921F75}"/>
    <hyperlink ref="O119" r:id="rId89" xr:uid="{8E24E624-9B86-4EC5-93A2-6A03904D8624}"/>
    <hyperlink ref="O16" r:id="rId90" xr:uid="{E513E334-78FE-42C2-8812-580A71232DA5}"/>
    <hyperlink ref="O56" r:id="rId91" xr:uid="{49620317-2B40-4C21-BE33-AE686BDE4B32}"/>
    <hyperlink ref="O58" r:id="rId92" xr:uid="{C431B35A-A435-4CDC-A547-10701D09C2D4}"/>
    <hyperlink ref="O57" r:id="rId93" xr:uid="{742E5421-70D1-4B2F-BDB3-39026B29D933}"/>
    <hyperlink ref="O59" r:id="rId94" xr:uid="{3521FAC8-5296-48E8-AF39-CFF62DC19FB9}"/>
    <hyperlink ref="O61" r:id="rId95" xr:uid="{A2EE34B5-0AE2-4A47-B49F-B47574188F7A}"/>
    <hyperlink ref="O62" r:id="rId96" xr:uid="{E78A912B-A3E1-455D-BAA9-4C6A6C7AF566}"/>
    <hyperlink ref="O63" r:id="rId97" xr:uid="{D4DD7C6A-8A56-45F8-B823-9DB53D87F6D2}"/>
    <hyperlink ref="O74" r:id="rId98" xr:uid="{E3D5942C-AED8-4473-80CB-0E02CEF79A84}"/>
    <hyperlink ref="O75" r:id="rId99" xr:uid="{55C3E371-C830-4241-B3BB-A109823EC149}"/>
    <hyperlink ref="O89" r:id="rId100" xr:uid="{C0092E97-0752-4E5D-8806-516A663599A6}"/>
    <hyperlink ref="O116" r:id="rId101" xr:uid="{8428E1B1-916E-4273-8431-EF5AA01DD0FA}"/>
    <hyperlink ref="O27" r:id="rId102" xr:uid="{CBDE7D59-B807-47CD-ABE6-ABB2FF2B10DE}"/>
    <hyperlink ref="O38" r:id="rId103" xr:uid="{C1612FB4-3F6D-46BC-8412-663322056440}"/>
    <hyperlink ref="O25" r:id="rId104" xr:uid="{E49520D0-BB5D-45B3-ADBE-166D6FB75DD5}"/>
  </hyperlinks>
  <pageMargins left="0.7" right="0.7" top="0.75" bottom="0.75" header="0.3" footer="0.3"/>
  <pageSetup paperSize="9" orientation="portrait" r:id="rId105"/>
  <drawing r:id="rId1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2022-11-01T12:08:27Z</dcterms:modified>
</cp:coreProperties>
</file>