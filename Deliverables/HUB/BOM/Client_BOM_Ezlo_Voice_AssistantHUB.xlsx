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VoiceAssistant\Deliverables\HUB\BOM\"/>
    </mc:Choice>
  </mc:AlternateContent>
  <xr:revisionPtr revIDLastSave="0" documentId="13_ncr:1_{A4C9F151-1C91-4840-BA60-583F120B86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8" i="1" l="1"/>
  <c r="O22" i="1"/>
  <c r="O25" i="1"/>
  <c r="O26" i="1"/>
  <c r="O27" i="1"/>
  <c r="O29" i="1"/>
  <c r="O30" i="1"/>
  <c r="O34" i="1"/>
  <c r="O35" i="1"/>
  <c r="O38" i="1"/>
  <c r="O41" i="1"/>
  <c r="O42" i="1"/>
  <c r="O43" i="1"/>
  <c r="O45" i="1"/>
  <c r="O46" i="1"/>
  <c r="O50" i="1"/>
  <c r="O51" i="1"/>
  <c r="O54" i="1"/>
  <c r="O56" i="1"/>
  <c r="O57" i="1"/>
  <c r="O58" i="1"/>
  <c r="O62" i="1"/>
  <c r="O65" i="1"/>
  <c r="O66" i="1"/>
  <c r="O70" i="1"/>
  <c r="O73" i="1"/>
  <c r="O74" i="1"/>
  <c r="O78" i="1"/>
  <c r="O79" i="1"/>
  <c r="O81" i="1"/>
  <c r="O82" i="1"/>
  <c r="O86" i="1"/>
  <c r="O89" i="1"/>
  <c r="O90" i="1"/>
  <c r="O92" i="1"/>
  <c r="O94" i="1"/>
  <c r="O95" i="1"/>
  <c r="O96" i="1"/>
  <c r="O98" i="1"/>
  <c r="O102" i="1"/>
  <c r="O103" i="1"/>
  <c r="O105" i="1"/>
  <c r="O107" i="1"/>
  <c r="O110" i="1"/>
  <c r="O111" i="1"/>
  <c r="O112" i="1"/>
  <c r="O114" i="1"/>
  <c r="O115" i="1"/>
  <c r="O118" i="1"/>
  <c r="O119" i="1"/>
  <c r="O11" i="1"/>
  <c r="O12" i="1"/>
  <c r="O13" i="1"/>
  <c r="O14" i="1"/>
  <c r="O10" i="1"/>
  <c r="O53" i="1"/>
  <c r="O49" i="1"/>
  <c r="O37" i="1"/>
  <c r="O33" i="1"/>
  <c r="O21" i="1"/>
  <c r="O17" i="1"/>
  <c r="O97" i="1"/>
  <c r="O93" i="1"/>
  <c r="O88" i="1"/>
  <c r="O85" i="1"/>
  <c r="O84" i="1"/>
  <c r="O80" i="1"/>
  <c r="O77" i="1"/>
  <c r="O76" i="1"/>
  <c r="O72" i="1"/>
  <c r="O69" i="1"/>
  <c r="O68" i="1"/>
  <c r="O64" i="1"/>
  <c r="O61" i="1"/>
  <c r="O59" i="1"/>
  <c r="O55" i="1"/>
  <c r="O52" i="1"/>
  <c r="O48" i="1"/>
  <c r="O47" i="1"/>
  <c r="O44" i="1"/>
  <c r="O40" i="1"/>
  <c r="O39" i="1"/>
  <c r="O36" i="1"/>
  <c r="O32" i="1"/>
  <c r="O31" i="1"/>
  <c r="O28" i="1"/>
  <c r="O24" i="1"/>
  <c r="O23" i="1"/>
  <c r="O20" i="1"/>
  <c r="O19" i="1"/>
  <c r="O16" i="1"/>
  <c r="O15" i="1"/>
  <c r="O117" i="1"/>
  <c r="O116" i="1"/>
  <c r="O113" i="1"/>
  <c r="O109" i="1"/>
  <c r="O108" i="1"/>
  <c r="O106" i="1"/>
  <c r="O104" i="1"/>
  <c r="O101" i="1"/>
  <c r="O100" i="1"/>
  <c r="O91" i="1"/>
  <c r="O87" i="1"/>
  <c r="O83" i="1"/>
  <c r="O75" i="1"/>
  <c r="O71" i="1"/>
  <c r="O67" i="1"/>
  <c r="O63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O120" i="1" l="1"/>
  <c r="O121" i="1" s="1"/>
</calcChain>
</file>

<file path=xl/sharedStrings.xml><?xml version="1.0" encoding="utf-8"?>
<sst xmlns="http://schemas.openxmlformats.org/spreadsheetml/2006/main" count="1013" uniqueCount="515">
  <si>
    <t>Component list</t>
  </si>
  <si>
    <t>Source Data From:</t>
  </si>
  <si>
    <t>Project:</t>
  </si>
  <si>
    <t>Variant:</t>
  </si>
  <si>
    <t>#</t>
  </si>
  <si>
    <t>None</t>
  </si>
  <si>
    <t>Designator</t>
  </si>
  <si>
    <t>ANT1</t>
  </si>
  <si>
    <t>ANT2</t>
  </si>
  <si>
    <t>C1, C7, C9</t>
  </si>
  <si>
    <t>C2, C20, C28, C30, C59</t>
  </si>
  <si>
    <t>C3, C29, C61, C142, C144, C241, C245</t>
  </si>
  <si>
    <t>C4, C6, C10, C12, C15, C18, C19, C22, C24, C45, C49, C68, C69, C70, C71, C72, C75, C77, C79, C80, C81, C83, C84, C86, C87, C88, C89, C90, C91, C98, C100, C102, C104, C106, C107, C108, C109, C111, C113, C114, C125, C126, C127, C128, C130, C131, C132, C133, C134, C135, C136, C137, C138, C139, C140, C141, C143, C145, C146, C147, C150, C151, C152, C153, C154, C155, C156, C157, C158, C159, C160, C166, C167, C168, C169, C170, C171, C172, C173, C175, C176, C177, C178, C181, C183, C188, C189, C190, C191, C192, C193, C194, C195, C196, C197, C198, C199, C200, C201, C202, C204, C205, C206, C207, C208, C209, C211, C212, C213, C214, C215, C216, C217, C218, C219, C220, C221, C222, C223, C224, C225, C226, C227, C228, C242, C247</t>
  </si>
  <si>
    <t>C5, C11, C14, C17, C21, C33, C34, C63, C73, C76, C92, C97, C118, C122, C164, C165</t>
  </si>
  <si>
    <t>C8, C44, C46, C112, C232, C233, C234, C236, C237, C238</t>
  </si>
  <si>
    <t>C13, C16, C51, C52, C53, C54, C55, C56, C62, C65, C66, C74, C93, C94, C95, C99, C101, C103, C116, C117, C119, C120, C121, C123, C246</t>
  </si>
  <si>
    <t>C23, C25, C35, C36, C37, C38, C39, C40, C41, C42, C47, C57, C58, C60, C67, C78, C82, C96, C105, C124, C161, C162, C163, C174, C179, C182, C230</t>
  </si>
  <si>
    <t>C26, C64, C85, C110, C115, C129, C203, C210, C229</t>
  </si>
  <si>
    <t>C27, C48, C50, C180</t>
  </si>
  <si>
    <t>C31, C32, C148, C149, C186, C187</t>
  </si>
  <si>
    <t>C43</t>
  </si>
  <si>
    <t>C184, C185</t>
  </si>
  <si>
    <t>C231, C235</t>
  </si>
  <si>
    <t>C239, C240, C243, C244</t>
  </si>
  <si>
    <t>D1, D3, D6, D7, D15, D21, D30, D34</t>
  </si>
  <si>
    <t>D2, D4, D5, D26, D32, D33</t>
  </si>
  <si>
    <t>D8, D22, D31</t>
  </si>
  <si>
    <t>D9, D10, D11, D12, D13, D14, D23, D24</t>
  </si>
  <si>
    <t>D16, D17, D18, D19, D20</t>
  </si>
  <si>
    <t>D25, D27, D28</t>
  </si>
  <si>
    <t>D29</t>
  </si>
  <si>
    <t>F1</t>
  </si>
  <si>
    <t>FB1</t>
  </si>
  <si>
    <t>J1</t>
  </si>
  <si>
    <t>J2</t>
  </si>
  <si>
    <t>J3</t>
  </si>
  <si>
    <t>J4</t>
  </si>
  <si>
    <t>J5</t>
  </si>
  <si>
    <t>J6, J7</t>
  </si>
  <si>
    <t>J8</t>
  </si>
  <si>
    <t>J9</t>
  </si>
  <si>
    <t>J10</t>
  </si>
  <si>
    <t>J11</t>
  </si>
  <si>
    <t>J12</t>
  </si>
  <si>
    <t>L1, L2</t>
  </si>
  <si>
    <t>L3</t>
  </si>
  <si>
    <t>L4, L5</t>
  </si>
  <si>
    <t>L6, L7</t>
  </si>
  <si>
    <t>L8, L9</t>
  </si>
  <si>
    <t>L10</t>
  </si>
  <si>
    <t>L11</t>
  </si>
  <si>
    <t>L12</t>
  </si>
  <si>
    <t>LED1</t>
  </si>
  <si>
    <t>LED2</t>
  </si>
  <si>
    <t>LED3</t>
  </si>
  <si>
    <t>LED4</t>
  </si>
  <si>
    <t>P1, P2, P3, P4, P5, P6, P7, P8, P9, P11, P12, P13, P14, P15, P17, P18, P19, P20, P21, P22, P23, P24, P25, P26, P32, P33, P34, P35</t>
  </si>
  <si>
    <t>P10, P16, P28, P29, P30, P31, P36, P37, P38, P39</t>
  </si>
  <si>
    <t>P27</t>
  </si>
  <si>
    <t>P40</t>
  </si>
  <si>
    <t>Q1</t>
  </si>
  <si>
    <t>Q2, Q6, Q8, Q9, Q10</t>
  </si>
  <si>
    <t>Q3, Q4, Q5</t>
  </si>
  <si>
    <t>Q7</t>
  </si>
  <si>
    <t>R1, R9, R12, R13, R15, R19, R21, R24, R27, R32, R39, R40, R42, R44, R48, R56, R58, R59, R66, R96, R97, R98, R99, R101, R102, R104, R106, R107, R109, R110, R111, R113, R117, R118, R123, R124, R125</t>
  </si>
  <si>
    <t>R2, R10, R11, R30, R31, R37, R116, R120, R121, R122</t>
  </si>
  <si>
    <t>R3, R17, R26, R86, R87, R119</t>
  </si>
  <si>
    <t>R4, R18, R34</t>
  </si>
  <si>
    <t>R5</t>
  </si>
  <si>
    <t>R6</t>
  </si>
  <si>
    <t>R7</t>
  </si>
  <si>
    <t>R8</t>
  </si>
  <si>
    <t>R14</t>
  </si>
  <si>
    <t>R16</t>
  </si>
  <si>
    <t>R20, R49, R62, R69, R105, R108</t>
  </si>
  <si>
    <t>R22, R41, R43, R54, R55, R90, R91, R92, R94, R115</t>
  </si>
  <si>
    <t>R23</t>
  </si>
  <si>
    <t>R25, R80, R84</t>
  </si>
  <si>
    <t>R28</t>
  </si>
  <si>
    <t>R29</t>
  </si>
  <si>
    <t>R33</t>
  </si>
  <si>
    <t>R35, R36, R38, R53, R65, R79, R83, R85</t>
  </si>
  <si>
    <t>R47, R88, R89</t>
  </si>
  <si>
    <t>R50, R51</t>
  </si>
  <si>
    <t>R52</t>
  </si>
  <si>
    <t>R57, R63, R112</t>
  </si>
  <si>
    <t>R60, R61</t>
  </si>
  <si>
    <t>R64</t>
  </si>
  <si>
    <t>R67, R68, R70, R71, R72</t>
  </si>
  <si>
    <t>R73, R74</t>
  </si>
  <si>
    <t>R75, R76</t>
  </si>
  <si>
    <t>R77, R78, R81, R82</t>
  </si>
  <si>
    <t>R93, R95</t>
  </si>
  <si>
    <t>R100, R114</t>
  </si>
  <si>
    <t>R103</t>
  </si>
  <si>
    <t>SB1, SB2, SB3, SB4, SB5, SB6, SB7, SB8, SB9, SB10, SB11, SB12, SB13, SB14, SB15, SB16, SB17, SB18, SB19, SB20, SB21, SB22, SB23, SB24, SB25, SB26, SB27, SB28, SB29, SB30, SB31, SB32, SB33</t>
  </si>
  <si>
    <t>SW1, SW2, SW3, SW4, SW5, SW6, SW7</t>
  </si>
  <si>
    <t>U1</t>
  </si>
  <si>
    <t>U2</t>
  </si>
  <si>
    <t>U3, U5</t>
  </si>
  <si>
    <t>U4</t>
  </si>
  <si>
    <t>U6</t>
  </si>
  <si>
    <t>U7</t>
  </si>
  <si>
    <t>U8</t>
  </si>
  <si>
    <t>U9</t>
  </si>
  <si>
    <t>U10</t>
  </si>
  <si>
    <t>U11, U12</t>
  </si>
  <si>
    <t>U13</t>
  </si>
  <si>
    <t>U14</t>
  </si>
  <si>
    <t>U15</t>
  </si>
  <si>
    <t>U16</t>
  </si>
  <si>
    <t>U17</t>
  </si>
  <si>
    <t>X1, X4</t>
  </si>
  <si>
    <t>X2</t>
  </si>
  <si>
    <t>X3</t>
  </si>
  <si>
    <t>X5</t>
  </si>
  <si>
    <t>Description</t>
  </si>
  <si>
    <t>SMD,5.2x2x1.1mm Antennas ROHS</t>
  </si>
  <si>
    <t>1206 Antennas ROHS</t>
  </si>
  <si>
    <t>CAP CER 100PF 50V C0G/NPO 0603</t>
  </si>
  <si>
    <t>CAP CER 0.022UF 50V X7R 0603</t>
  </si>
  <si>
    <t>CAP CER 4.7UF 25V X5R 0603</t>
  </si>
  <si>
    <t>CAP CER 0.1UF 10V X5R 0402</t>
  </si>
  <si>
    <t>CAP CER 10UF 25V X5R 0603</t>
  </si>
  <si>
    <t>CAP CER 0.1UF 50V X7R 0402</t>
  </si>
  <si>
    <t>0803 22uF 25V X5R 20% multilayer ceramic capacitor</t>
  </si>
  <si>
    <t>CAP CER 1UF 25V X5R 0402</t>
  </si>
  <si>
    <t>CAP CER 0603 1nF 25 V ±10 % Tolerance X7R SMT</t>
  </si>
  <si>
    <t>CAP CER 2.2UF 25V X5R 0603</t>
  </si>
  <si>
    <t>CAP CER 20PF 50V C0G/NPO 0603</t>
  </si>
  <si>
    <t>CAP CER 47PF 100V NPO 0603</t>
  </si>
  <si>
    <t>CAP CER 27pF 5% C0G 50V 0603 Paper T/R</t>
  </si>
  <si>
    <t>16V 4.7uF ±20% 0402 Multilayer Ceramic Capacitors MLCC</t>
  </si>
  <si>
    <t>CAP CER 10PF 50V C0G/NPO 0603</t>
  </si>
  <si>
    <t>DIODE SCHOTTKY 40V 1A SOD323</t>
  </si>
  <si>
    <t>DFN1006-2L ESD Protection Devices ROHS</t>
  </si>
  <si>
    <t>Diode Zener Single 3.3V 6% 500mW 2-Pin SOD-123</t>
  </si>
  <si>
    <t>DFN1006-2 ESD Protection Devices ROHS</t>
  </si>
  <si>
    <t>DFN2510-10L ESD Protection Devices ROHS</t>
  </si>
  <si>
    <t>uSON-10 ESD Protection Devices ROHS</t>
  </si>
  <si>
    <t>DIODE SCHOTTKY 30V 100MA SOT323</t>
  </si>
  <si>
    <t>DFN1006P ESD Protection Devices ROHS</t>
  </si>
  <si>
    <t>6V 500mA 40A 1A 0603 Resettable Fuses ROHS</t>
  </si>
  <si>
    <t>FERRITE BEAD 120 OHM 0603 1LN</t>
  </si>
  <si>
    <t>MICRO SD PUSH/PUSH SMALL 8C</t>
  </si>
  <si>
    <t>CONN RCPT USB2.0 TYPEA 4POS R/A</t>
  </si>
  <si>
    <t>USB 3.0 1.8A 1 260℃ Surface Mount 9 Female -40℃~+85℃ Gold Copper Alloy Type-A SMD USB Connectors ROHS</t>
  </si>
  <si>
    <t>CONN RCP USB3.1 TYPEC 24P SMD RA</t>
  </si>
  <si>
    <t>CONN RCPT 1.4 HDMI 19POS SMD R/A</t>
  </si>
  <si>
    <t>CONN U.FL RCPT STR 50 OHM SMD</t>
  </si>
  <si>
    <t>Shrouded Square Pins 2.5mm 6mm -40℃~+105℃ 1 7 2.54mm Black Brass 1x7P Plugin,P=2.54mm Pin Headers ROHS</t>
  </si>
  <si>
    <t>Micro-USB B Receptacle with Flange, Bottom Mount, Surface Mount, Lead-Free</t>
  </si>
  <si>
    <t>DC Power Receptacle 1.65mm 4.3mm 7A 24V Plugin AC/DC Power Connectors ROHS</t>
  </si>
  <si>
    <t>SMD Battery Holders, Clips &amp; Contacts RoHS</t>
  </si>
  <si>
    <t>Conn Shrouded Header (4 Sides) HDR 2 POS 2.5mm Solder ST Thru-Hole Box</t>
  </si>
  <si>
    <t>6.4A 240nH ±30% 8mΩ SMD Power Inductors ROHS</t>
  </si>
  <si>
    <t>4A 2.2uH ±20% 32mΩ SMD,5.4x5.2x2mm Power Inductors ROHS</t>
  </si>
  <si>
    <t>1.4A 3.3uH ±20% 0.07Ω 3.2A SMD,4x4x2mm Power Inductors ROHS</t>
  </si>
  <si>
    <t>4.5A 1uH ±20% 70mΩ 5.5A SMD,4.2x4.4x1.2mm Power Inductors ROHS</t>
  </si>
  <si>
    <t>2.8A 2.2uH ±20% 60mΩ 4A SMD,3.4x3x1.8mm Power Inductors ROHS</t>
  </si>
  <si>
    <t>90Ω@100MHz -40℃~+85℃ 350mΩ 50V 2 330mA 125V 0805 Common Mode Filters ROHS</t>
  </si>
  <si>
    <t>Ferrite Beads Multi-Layer 600Ohm 25% 100MHz 300mA 520mOhm DCR 0402 Paper T/R</t>
  </si>
  <si>
    <t>Fixed Ind 4.720%UH 0.06 Ohm 3200M</t>
  </si>
  <si>
    <t>LED BLUE CLEAR 0402</t>
  </si>
  <si>
    <t>LED GREEN CLEAR CHIP SMD</t>
  </si>
  <si>
    <t>LED RED CLEAR CHIP SMD</t>
  </si>
  <si>
    <t>LED YELLOW CLEAR CHIP SMD</t>
  </si>
  <si>
    <t>Test Point ON</t>
  </si>
  <si>
    <t>CONN HEADER VERT 2POS 2.54MM</t>
  </si>
  <si>
    <t>CONN HEADER 6 POS 2.54</t>
  </si>
  <si>
    <t>CONN HEADER VERT 3POS 2.54MM</t>
  </si>
  <si>
    <t>Trans Mosfet P-ch 30V 4A 3-PIN SOT-23 T/r</t>
  </si>
  <si>
    <t>Trans Gp Bjt NPN 25V 1.5A 300MW 3-PIN SOT-23 T/r</t>
  </si>
  <si>
    <t>60V 500mA 690mW 2Ω@10V,500mA 2V@250uA N Channel SOT-23 MOSFETs ROHS</t>
  </si>
  <si>
    <t>SI2302 Series 20 3 A N-Ch Enhancement Mode Field Effect Transistor - SOT-23-3</t>
  </si>
  <si>
    <t>RES SMD 10K OHM 5% 1/10W 0603</t>
  </si>
  <si>
    <t>100mW Thick Film Resistors 50V ±5% ±100ppm/℃ -55℃~+155℃ 100Ω 0603 Chip Resistor - Surface Mount ROHS</t>
  </si>
  <si>
    <t>RES SMD 100K OHM 0.1% 1/10W 0603</t>
  </si>
  <si>
    <t>RES SMD 200K OHM 0.5% 1/10W 0603</t>
  </si>
  <si>
    <t>118kΩ 0603 Chip Resistor - Surface Mount ROHS</t>
  </si>
  <si>
    <t>12kΩ 0603 Chip Resistor - Surface Mount ROHS</t>
  </si>
  <si>
    <t>RES 18K OHM 1% 1/10W 0603</t>
  </si>
  <si>
    <t>RES 30K OHM 1% 1/10W 0603</t>
  </si>
  <si>
    <t>RES 33.2K OHM 1% 1/10W 0603</t>
  </si>
  <si>
    <t>RES SMD 33K OHM 0.1% 1/10W 0603</t>
  </si>
  <si>
    <t>RES SMD 0R, 1%, 0.1W, 0603</t>
  </si>
  <si>
    <t>RES SMD 4.7K OHM 5% 1/10W 0603</t>
  </si>
  <si>
    <t>RES SMD 10 OHM 1% 1/10W 0603</t>
  </si>
  <si>
    <t>Res Thick Film 0603 30K Ohm 1% 0.1W(1/10W) ±100ppm/C Epoxy Pad SMD T/R</t>
  </si>
  <si>
    <t>Res Thick Film 0603 150K Ohm 5% 0.25W(1/4W) ±200ppm/C Pad SMD Automotive T/R</t>
  </si>
  <si>
    <t>Res Thick Film 0603 270K Ohm 5% 0.1W(1/10W) ±100ppm/C Pad SMD T/R</t>
  </si>
  <si>
    <t>51kΩ 0603 Chip Resistor - Surface Mount ROHS</t>
  </si>
  <si>
    <t>RES SMD 1K OHM 0.5% 1/10W 0603</t>
  </si>
  <si>
    <t>RES 2M OHM 1% 1/10W 0603</t>
  </si>
  <si>
    <t>RES SMD 240 OHM 0.1% 1/10W 0603</t>
  </si>
  <si>
    <t>RES 1.62K OHM 1% 1/10W 0603</t>
  </si>
  <si>
    <t>RES SMD 22 OHM 5% 1/3W 0603</t>
  </si>
  <si>
    <t>4.02kΩ 0603 Chip Resistor - Surface Mount ROHS</t>
  </si>
  <si>
    <t>Res Thick Film 0603 1M Ohm 1% 1/10W ±100ppm/°C Molded SMD Paper T/R</t>
  </si>
  <si>
    <t>RES SMD 33 OHM 1% 1/10W 0603</t>
  </si>
  <si>
    <t>1Ω 0603 100mW</t>
  </si>
  <si>
    <t>133Ω 0603 Chip Resistor - Surface Mount ROHS</t>
  </si>
  <si>
    <t>RES SMD 499 OHM 0.1% 1/10W 0603</t>
  </si>
  <si>
    <t>RES SMD 1.5K OHM 1% 1/10W 0603</t>
  </si>
  <si>
    <t>RES SMD 220 OHM 1% 1/10W 0603</t>
  </si>
  <si>
    <t>100mW Thin Film Resistor 50V ±0.1% ±50ppm/℃ -55℃~+155℃ 47Ω 0603 Chip Resistor - Surface Mount ROHS</t>
  </si>
  <si>
    <t>Solder Bridge ON</t>
  </si>
  <si>
    <t>3mm 2mm Round Button 50mA Top3.65mm SPST 12V SMD Tactile Switches</t>
  </si>
  <si>
    <t>Step-down type CSP1.56*1.96-20 DC-DC Converters ROHS</t>
  </si>
  <si>
    <t>Step-down type SOT-23-5 DC-DC Converters ROHS</t>
  </si>
  <si>
    <t>IC REG BUCK ADJ 3A TSOT23-6</t>
  </si>
  <si>
    <t>LDO Voltage Regulators 500mA LOW NOISE LDO</t>
  </si>
  <si>
    <t>IC REG LDO 3.3V 0.3A SOT23-5</t>
  </si>
  <si>
    <t>SPX3819 Series 3 V Fixed Output 500 mA SMT LDO Regulator - SOT-23-5</t>
  </si>
  <si>
    <t>2.1Amp SOT-23-5 Power Distribution Switches ROHS</t>
  </si>
  <si>
    <t>Full Speed Programmable USB Power Delivery Controller USB 3.1 3.3V T/R 14-Pin WQFN EP</t>
  </si>
  <si>
    <t>IC MCU 32BIT 256KB FLSH 48UFQFPN</t>
  </si>
  <si>
    <t>16Gbit 800MHz 1.7V~1.95V -25℃~+85℃ FBGA-178 SDRAM ROHS</t>
  </si>
  <si>
    <t>BGA-153 eMMC ROHS</t>
  </si>
  <si>
    <t>802.11ac/a/b/g/n 2x2 WiFi with Bluetooth5.0 Combo SIP Module</t>
  </si>
  <si>
    <t>CRYSTAL 32.7680KHZ 12.5PF SMD</t>
  </si>
  <si>
    <t>24MHz SMD Crystal Resonator 12pF ±10ppm ±30ppm -40℃~+85℃ SMD3225-4P Crystals ROHS</t>
  </si>
  <si>
    <t>8MHz SMD Crystal Resonator 18pF 70Ω ±10ppm ±30ppm -40℃~+85℃ SMD5032-4P Crystals ROHS</t>
  </si>
  <si>
    <t>37.4MHz SMD Crystal Resonator 9pF 60Ω ±10ppm -40℃~+85℃ SMD2016-4P Crystals</t>
  </si>
  <si>
    <t>Footprint</t>
  </si>
  <si>
    <t>RFANT5220110A2T</t>
  </si>
  <si>
    <t>ANT 1206</t>
  </si>
  <si>
    <t>Cap0603</t>
  </si>
  <si>
    <t>Cap0402</t>
  </si>
  <si>
    <t>Cap 0402</t>
  </si>
  <si>
    <t>Cap0805</t>
  </si>
  <si>
    <t>SOD-323</t>
  </si>
  <si>
    <t>DFN1006-2L</t>
  </si>
  <si>
    <t>SOD-123</t>
  </si>
  <si>
    <t>DFN2510-10L</t>
  </si>
  <si>
    <t>uSON-10</t>
  </si>
  <si>
    <t>SOT-323</t>
  </si>
  <si>
    <t>Fuse 0603</t>
  </si>
  <si>
    <t>MPZ1608S121ATDH5</t>
  </si>
  <si>
    <t>503398-1892</t>
  </si>
  <si>
    <t>U231-091N-4BLRA00-S</t>
  </si>
  <si>
    <t>2305018-2</t>
  </si>
  <si>
    <t>10029449-111RLF</t>
  </si>
  <si>
    <t>U.FL-R-SMT-1(80)</t>
  </si>
  <si>
    <t>HDR1X7H</t>
  </si>
  <si>
    <t>DC-C024E-7A-1.65</t>
  </si>
  <si>
    <t>CR1220-2</t>
  </si>
  <si>
    <t>B2B-XH-A(LF)(SN)</t>
  </si>
  <si>
    <t>FNR5040SR24NT</t>
  </si>
  <si>
    <t>YSPI0520-2R2M</t>
  </si>
  <si>
    <t>MWPY4020-3R3M-T</t>
  </si>
  <si>
    <t>PSPMAA0412-1R0M-ANP</t>
  </si>
  <si>
    <t>MHP0302-2R2M</t>
  </si>
  <si>
    <t>SDCW2012-2-900TF</t>
  </si>
  <si>
    <t>IND 0402</t>
  </si>
  <si>
    <t>SWPA4030S4R7MT</t>
  </si>
  <si>
    <t>LED 0402</t>
  </si>
  <si>
    <t>TEST POINT</t>
  </si>
  <si>
    <t>HDR1X2</t>
  </si>
  <si>
    <t>HDR1X6</t>
  </si>
  <si>
    <t>HDR1X3</t>
  </si>
  <si>
    <t>SOT23-3</t>
  </si>
  <si>
    <t>SI2302-TP</t>
  </si>
  <si>
    <t>Res0603</t>
  </si>
  <si>
    <t>Solder Bridge</t>
  </si>
  <si>
    <t>TS-1185EC-C-D-B</t>
  </si>
  <si>
    <t>SYR837PKC</t>
  </si>
  <si>
    <t>SYR838PKC</t>
  </si>
  <si>
    <t>SOT-23-5</t>
  </si>
  <si>
    <t>TPS563201DDCR</t>
  </si>
  <si>
    <t>68-QFN (7x7)</t>
  </si>
  <si>
    <t>RK3399</t>
  </si>
  <si>
    <t>14-MLP (2.5x2.5)</t>
  </si>
  <si>
    <t>48-UFQFPN (7x7)</t>
  </si>
  <si>
    <t>FBGA-178 SDRAM</t>
  </si>
  <si>
    <t>BGA-153</t>
  </si>
  <si>
    <t>AP6398S</t>
  </si>
  <si>
    <t>NX3215SA-32.768K-STD-MUA-8</t>
  </si>
  <si>
    <t>X322524MOB4SI</t>
  </si>
  <si>
    <t>5TJ480000XYLBC</t>
  </si>
  <si>
    <t>Q22FA12800078</t>
  </si>
  <si>
    <t>Manufacturer Part Number</t>
  </si>
  <si>
    <t>RFECA3216060K1T</t>
  </si>
  <si>
    <t>CC0603JRNPO9BN101</t>
  </si>
  <si>
    <t>CC0603KRX7R9BB223</t>
  </si>
  <si>
    <t>CL10A475KA8NQNC</t>
  </si>
  <si>
    <t>C1608X5R1E106M080AC</t>
  </si>
  <si>
    <t>GRM155R71H104ME14D</t>
  </si>
  <si>
    <t>CL21A226MAYNNNE</t>
  </si>
  <si>
    <t>GRM155R61E105KA12D</t>
  </si>
  <si>
    <t>CC0603KRX7R8BB102</t>
  </si>
  <si>
    <t>CL10A225KA8NNNC</t>
  </si>
  <si>
    <t>CC0603JRNPO9BN200</t>
  </si>
  <si>
    <t>AC0603JRNPO0BN470</t>
  </si>
  <si>
    <t>CC0603JRNPO9BN270</t>
  </si>
  <si>
    <t>EDK105BBJ475MVLF</t>
  </si>
  <si>
    <t>CC0603JRNPO9BN100</t>
  </si>
  <si>
    <t>B5819WS-TP</t>
  </si>
  <si>
    <t>ESD5451N-2/TR</t>
  </si>
  <si>
    <t>BZT52C3V3-E3-08</t>
  </si>
  <si>
    <t>ESD9X5VU</t>
  </si>
  <si>
    <t>ESD5344D-10/TR</t>
  </si>
  <si>
    <t>TPD4E05U06DQAR</t>
  </si>
  <si>
    <t>BAT54CWT1G</t>
  </si>
  <si>
    <t>SMD0603-050</t>
  </si>
  <si>
    <t>PZ254R-11-07P</t>
  </si>
  <si>
    <t>47346-0001</t>
  </si>
  <si>
    <t>BLM15AG601SN1D</t>
  </si>
  <si>
    <t>XZVG68W-2</t>
  </si>
  <si>
    <t>XZMDK68W-2</t>
  </si>
  <si>
    <t>XZMYK68W-2</t>
  </si>
  <si>
    <t>AO3401A</t>
  </si>
  <si>
    <t>SS8050-G</t>
  </si>
  <si>
    <t>WNM6001-3/TR</t>
  </si>
  <si>
    <t>AC0603JR-0710KL</t>
  </si>
  <si>
    <t>FRC0603J101 TS</t>
  </si>
  <si>
    <t>RT0603BRD07100KL</t>
  </si>
  <si>
    <t>RT0603DRD07200KL</t>
  </si>
  <si>
    <t>ARG03BTC1183</t>
  </si>
  <si>
    <t>RTT031202BTP</t>
  </si>
  <si>
    <t>RC0603FR-0718KL</t>
  </si>
  <si>
    <t>RC0603FR-0733K2L</t>
  </si>
  <si>
    <t>RT0603BRD0733KL</t>
  </si>
  <si>
    <t>RC0603FR-070RL</t>
  </si>
  <si>
    <t>RC0603JR-074K7L</t>
  </si>
  <si>
    <t>RC0603FR-0710RL</t>
  </si>
  <si>
    <t>RC0603JR-0747KL</t>
  </si>
  <si>
    <t>ERJ-PA3J154V</t>
  </si>
  <si>
    <t>RC0603JR-07270KL</t>
  </si>
  <si>
    <t>ARG03FTC5102</t>
  </si>
  <si>
    <t>RT0603DRD071KL</t>
  </si>
  <si>
    <t>RC0603FR-072ML</t>
  </si>
  <si>
    <t>RT0603BRD07240RL</t>
  </si>
  <si>
    <t>WR06X1621FTL</t>
  </si>
  <si>
    <t>CRCW060322R0JNEAHP</t>
  </si>
  <si>
    <t>RC0603FR-071ML</t>
  </si>
  <si>
    <t>RC0603FR-0733RL</t>
  </si>
  <si>
    <t>0603WAF100KT5E</t>
  </si>
  <si>
    <t>0603WAF1330T5E</t>
  </si>
  <si>
    <t>ERA-3AEB4990V</t>
  </si>
  <si>
    <t>AF0603FR-071K5L</t>
  </si>
  <si>
    <t>RC0603FR-07220RL</t>
  </si>
  <si>
    <t>AR03BTDX0470</t>
  </si>
  <si>
    <t>SY8088AAC</t>
  </si>
  <si>
    <t>SPX3819M5-L-1-8/TR</t>
  </si>
  <si>
    <t>RT9193-33GB</t>
  </si>
  <si>
    <t>SPX3819M5-L-3-0/TR</t>
  </si>
  <si>
    <t>RK808-D</t>
  </si>
  <si>
    <t>LPW5209B5F-21</t>
  </si>
  <si>
    <t>FUSB302BMPX</t>
  </si>
  <si>
    <t>STM32F411CCU6TR</t>
  </si>
  <si>
    <t>RS512M32LD3D2LMZ-125BT</t>
  </si>
  <si>
    <t>FSEIASLD-64G</t>
  </si>
  <si>
    <t>Manufacturer</t>
  </si>
  <si>
    <t>Walsin Tech</t>
  </si>
  <si>
    <t>Walsin Tech Corp</t>
  </si>
  <si>
    <t>Yageo</t>
  </si>
  <si>
    <t>Samsung</t>
  </si>
  <si>
    <t>TDK</t>
  </si>
  <si>
    <t>Murata</t>
  </si>
  <si>
    <t>Taiyo Yuden</t>
  </si>
  <si>
    <t>MDD</t>
  </si>
  <si>
    <t>WILLSEMI</t>
  </si>
  <si>
    <t>Vishay</t>
  </si>
  <si>
    <t>TECH PUBLIC</t>
  </si>
  <si>
    <t>ON Semiconductor / Fairchild</t>
  </si>
  <si>
    <t>TECHFUSE</t>
  </si>
  <si>
    <t>Molex</t>
  </si>
  <si>
    <t>Wurth Electronics</t>
  </si>
  <si>
    <t>XKB Connectivity</t>
  </si>
  <si>
    <t>TE Connectivity AMP</t>
  </si>
  <si>
    <t>Amphenol ICC / FCI</t>
  </si>
  <si>
    <t>Hirose</t>
  </si>
  <si>
    <t>XFCN</t>
  </si>
  <si>
    <t>Q&amp;J</t>
  </si>
  <si>
    <t>JST</t>
  </si>
  <si>
    <t>cjiang</t>
  </si>
  <si>
    <t>YJYCOIN</t>
  </si>
  <si>
    <t>Me-TECH</t>
  </si>
  <si>
    <t>PROD Tech</t>
  </si>
  <si>
    <t>Sunlord</t>
  </si>
  <si>
    <t>SunLED</t>
  </si>
  <si>
    <t>Alpha &amp; Omega Semiconductor</t>
  </si>
  <si>
    <t>Comchip</t>
  </si>
  <si>
    <t>MCC</t>
  </si>
  <si>
    <t>FOJAN</t>
  </si>
  <si>
    <t>Viking</t>
  </si>
  <si>
    <t>RALEC</t>
  </si>
  <si>
    <t>Panasonic</t>
  </si>
  <si>
    <t>Walsin Technologies</t>
  </si>
  <si>
    <t>Vishay Dale</t>
  </si>
  <si>
    <t>UNI-ROYAL</t>
  </si>
  <si>
    <t>XKB</t>
  </si>
  <si>
    <t>Silergy</t>
  </si>
  <si>
    <t>Silergy Corp</t>
  </si>
  <si>
    <t>Texas Instruments</t>
  </si>
  <si>
    <t>MaxLinear</t>
  </si>
  <si>
    <t>Richtek</t>
  </si>
  <si>
    <t>Rockchip</t>
  </si>
  <si>
    <t>Fuzhou Rockchip Electronics</t>
  </si>
  <si>
    <t>LOWPOWER</t>
  </si>
  <si>
    <t>STMicroelectronics</t>
  </si>
  <si>
    <t>Rayson</t>
  </si>
  <si>
    <t>FORESEE</t>
  </si>
  <si>
    <t>SparkLAN</t>
  </si>
  <si>
    <t>NDK</t>
  </si>
  <si>
    <t>Yangxing Tech</t>
  </si>
  <si>
    <t>JYJE</t>
  </si>
  <si>
    <t>100pF</t>
  </si>
  <si>
    <t>22nF</t>
  </si>
  <si>
    <t>4.7uF</t>
  </si>
  <si>
    <t>0.1uF</t>
  </si>
  <si>
    <t>10uF</t>
  </si>
  <si>
    <t>22uF</t>
  </si>
  <si>
    <t>1uF</t>
  </si>
  <si>
    <t>1nF</t>
  </si>
  <si>
    <t>2.2uF</t>
  </si>
  <si>
    <t>20pF</t>
  </si>
  <si>
    <t>47pF</t>
  </si>
  <si>
    <t>27pF</t>
  </si>
  <si>
    <t>10pF</t>
  </si>
  <si>
    <t>AZ5825-01F</t>
  </si>
  <si>
    <t>240nH</t>
  </si>
  <si>
    <t>2.2uH</t>
  </si>
  <si>
    <t>3.3uH</t>
  </si>
  <si>
    <t>1uH</t>
  </si>
  <si>
    <t>4.7uH</t>
  </si>
  <si>
    <t>10K</t>
  </si>
  <si>
    <t>100R</t>
  </si>
  <si>
    <t>100K</t>
  </si>
  <si>
    <t>200K</t>
  </si>
  <si>
    <t>118K</t>
  </si>
  <si>
    <t>12K</t>
  </si>
  <si>
    <t>18K</t>
  </si>
  <si>
    <t>30K</t>
  </si>
  <si>
    <t>33.2K</t>
  </si>
  <si>
    <t>33K</t>
  </si>
  <si>
    <t>0R</t>
  </si>
  <si>
    <t>4.7K</t>
  </si>
  <si>
    <t>10R</t>
  </si>
  <si>
    <t>47K</t>
  </si>
  <si>
    <t>150K</t>
  </si>
  <si>
    <t>270K</t>
  </si>
  <si>
    <t>51K</t>
  </si>
  <si>
    <t>1K</t>
  </si>
  <si>
    <t>2M</t>
  </si>
  <si>
    <t>240R</t>
  </si>
  <si>
    <t>1.62K</t>
  </si>
  <si>
    <t>22R</t>
  </si>
  <si>
    <t>4.02K</t>
  </si>
  <si>
    <t>1M</t>
  </si>
  <si>
    <t>33R</t>
  </si>
  <si>
    <t>1R</t>
  </si>
  <si>
    <t>133R</t>
  </si>
  <si>
    <t>499R</t>
  </si>
  <si>
    <t>1.5K</t>
  </si>
  <si>
    <t>220R</t>
  </si>
  <si>
    <t>47R</t>
  </si>
  <si>
    <t>24MHZ</t>
  </si>
  <si>
    <t>8MHz</t>
  </si>
  <si>
    <t>37.4MHz</t>
  </si>
  <si>
    <t>Quantity</t>
  </si>
  <si>
    <t>Item Type</t>
  </si>
  <si>
    <t>Alternate Part Number</t>
  </si>
  <si>
    <t>Value</t>
  </si>
  <si>
    <t>Remarks</t>
  </si>
  <si>
    <t>Antena</t>
  </si>
  <si>
    <t>Custom</t>
  </si>
  <si>
    <t>Capacitor</t>
  </si>
  <si>
    <t>Diode</t>
  </si>
  <si>
    <t>ESD1,ESD2</t>
  </si>
  <si>
    <t>Fuse</t>
  </si>
  <si>
    <t>Ferrite Bead</t>
  </si>
  <si>
    <t>Connector</t>
  </si>
  <si>
    <t>Header</t>
  </si>
  <si>
    <t>Inductor</t>
  </si>
  <si>
    <t>LED</t>
  </si>
  <si>
    <t>XZCBD68W-2</t>
  </si>
  <si>
    <t xml:space="preserve">LED </t>
  </si>
  <si>
    <t>Test Point</t>
  </si>
  <si>
    <t>-</t>
  </si>
  <si>
    <t>Mosfet</t>
  </si>
  <si>
    <t>Resistor</t>
  </si>
  <si>
    <t>RC0603FR-0730KL</t>
  </si>
  <si>
    <t>0603WAF4021T5E</t>
  </si>
  <si>
    <t>Switch</t>
  </si>
  <si>
    <t>IC</t>
  </si>
  <si>
    <t>CSP1.56*1.96-20</t>
  </si>
  <si>
    <t>TSOT23-6</t>
  </si>
  <si>
    <t>RK808 QFN68 K808 Power management chip</t>
  </si>
  <si>
    <t>RK3399 CPU BGA for HD set-top box chip BGA Chipset</t>
  </si>
  <si>
    <t>FCBGA828 21x21</t>
  </si>
  <si>
    <t>Crystal</t>
  </si>
  <si>
    <t>Seiko Epson</t>
  </si>
  <si>
    <t>CL10A106MA8NRNC</t>
  </si>
  <si>
    <t>CL05B104KB54PNC</t>
  </si>
  <si>
    <t>U-USBAR04P-F002</t>
  </si>
  <si>
    <t>XL-1005BGWC</t>
  </si>
  <si>
    <t>NCD0402C1</t>
  </si>
  <si>
    <t>NCD0402R1</t>
  </si>
  <si>
    <t>SZYY0402Y</t>
  </si>
  <si>
    <t>PZ254V-11-02P</t>
  </si>
  <si>
    <t>DZ254R-11-06-63</t>
  </si>
  <si>
    <t>PZ254V-11-03P</t>
  </si>
  <si>
    <t>RS-03K3322FT</t>
  </si>
  <si>
    <t>0603WAJ0220T5E</t>
  </si>
  <si>
    <t>Links</t>
  </si>
  <si>
    <t>Unit Cost (10 Boards)</t>
  </si>
  <si>
    <t>Total Cost (10 Boards)</t>
  </si>
  <si>
    <t>MOQ (10 Boards)</t>
  </si>
  <si>
    <t xml:space="preserve">Total Component Cost </t>
  </si>
  <si>
    <t>Single Board Cost</t>
  </si>
  <si>
    <t>Bill of Materials for Project [HUB_Design]</t>
  </si>
  <si>
    <t>[HUB_Design]</t>
  </si>
  <si>
    <t>Self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</si>
</sst>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6" fillId="5" borderId="12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20" fillId="2" borderId="15" xfId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0" fontId="20" fillId="4" borderId="16" xfId="1" applyFill="1" applyBorder="1" applyAlignment="1">
      <alignment horizontal="center" vertical="center" wrapText="1"/>
    </xf>
    <xf numFmtId="165" fontId="17" fillId="4" borderId="16" xfId="0" applyNumberFormat="1" applyFont="1" applyFill="1" applyBorder="1" applyAlignment="1">
      <alignment horizontal="center" vertical="center" wrapText="1"/>
    </xf>
    <xf numFmtId="166" fontId="14" fillId="3" borderId="14" xfId="0" quotePrefix="1" applyNumberFormat="1" applyFont="1" applyFill="1" applyBorder="1" applyAlignment="1">
      <alignment horizontal="center" vertical="center" wrapText="1"/>
    </xf>
    <xf numFmtId="166" fontId="14" fillId="3" borderId="19" xfId="0" applyNumberFormat="1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 wrapText="1"/>
    </xf>
    <xf numFmtId="165" fontId="23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1" fillId="3" borderId="18" xfId="0" applyFont="1" applyFill="1" applyBorder="1" applyAlignment="1" applyProtection="1">
      <alignment horizontal="center" vertical="top"/>
      <protection locked="0"/>
    </xf>
    <xf numFmtId="0" fontId="21" fillId="3" borderId="11" xfId="0" applyFont="1" applyFill="1" applyBorder="1" applyAlignment="1" applyProtection="1">
      <alignment horizontal="center" vertical="top"/>
      <protection locked="0"/>
    </xf>
    <xf numFmtId="0" fontId="23" fillId="4" borderId="6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165" fontId="23" fillId="4" borderId="16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2</xdr:row>
      <xdr:rowOff>19942</xdr:rowOff>
    </xdr:from>
    <xdr:to>
      <xdr:col>15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21"/>
  <sheetViews>
    <sheetView tabSelected="1" topLeftCell="A100" workbookViewId="0">
      <selection activeCell="A116" sqref="A116"/>
    </sheetView>
  </sheetViews>
  <sheetFormatPr defaultRowHeight="15" x14ac:dyDescent="0.25"/>
  <cols>
    <col min="2" max="2" width="4" style="25" bestFit="1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5703125" bestFit="1" customWidth="1"/>
    <col min="9" max="9" width="17.7109375" bestFit="1" customWidth="1"/>
    <col min="10" max="10" width="7.28515625" bestFit="1" customWidth="1"/>
    <col min="11" max="11" width="8.7109375" bestFit="1" customWidth="1"/>
    <col min="12" max="12" width="16.140625" bestFit="1" customWidth="1"/>
    <col min="13" max="13" width="15.7109375" bestFit="1" customWidth="1"/>
    <col min="14" max="14" width="19.7109375" bestFit="1" customWidth="1"/>
    <col min="15" max="15" width="20.28515625" bestFit="1" customWidth="1"/>
    <col min="16" max="16" width="29.42578125" customWidth="1"/>
  </cols>
  <sheetData>
    <row r="1" spans="1:16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70"/>
      <c r="K1" s="70"/>
      <c r="L1" s="70"/>
      <c r="M1" s="70"/>
      <c r="N1" s="70"/>
      <c r="O1" s="70"/>
      <c r="P1" s="70"/>
    </row>
    <row r="2" spans="1:16" ht="32.25" thickBot="1" x14ac:dyDescent="0.3">
      <c r="A2" s="1"/>
      <c r="B2" s="20"/>
      <c r="C2" s="43"/>
      <c r="D2" s="10" t="s">
        <v>0</v>
      </c>
      <c r="E2" s="10"/>
      <c r="F2" s="52" t="s">
        <v>512</v>
      </c>
      <c r="G2" s="11"/>
      <c r="H2" s="11"/>
      <c r="I2" s="3"/>
      <c r="J2" s="3"/>
      <c r="K2" s="3"/>
      <c r="L2" s="3"/>
      <c r="M2" s="3"/>
      <c r="N2" s="3"/>
      <c r="O2" s="3"/>
      <c r="P2" s="40"/>
    </row>
    <row r="3" spans="1:16" x14ac:dyDescent="0.25">
      <c r="A3" s="1"/>
      <c r="B3" s="21"/>
      <c r="C3" s="44"/>
      <c r="D3" s="12" t="s">
        <v>1</v>
      </c>
      <c r="E3" s="12"/>
      <c r="F3" s="53" t="s">
        <v>513</v>
      </c>
      <c r="G3" s="12"/>
      <c r="H3" s="12"/>
      <c r="I3" s="4"/>
      <c r="J3" s="4"/>
      <c r="K3" s="4"/>
      <c r="L3" s="4"/>
      <c r="M3" s="4"/>
      <c r="N3" s="4"/>
      <c r="O3" s="4"/>
      <c r="P3" s="71"/>
    </row>
    <row r="4" spans="1:16" x14ac:dyDescent="0.25">
      <c r="A4" s="1"/>
      <c r="B4" s="21"/>
      <c r="C4" s="44"/>
      <c r="D4" s="12" t="s">
        <v>2</v>
      </c>
      <c r="E4" s="12"/>
      <c r="F4" s="54" t="s">
        <v>513</v>
      </c>
      <c r="G4" s="13"/>
      <c r="H4" s="13"/>
      <c r="I4" s="6"/>
      <c r="J4" s="6"/>
      <c r="K4" s="6"/>
      <c r="L4" s="6"/>
      <c r="M4" s="5"/>
      <c r="N4" s="5"/>
      <c r="O4" s="5"/>
      <c r="P4" s="72"/>
    </row>
    <row r="5" spans="1:16" x14ac:dyDescent="0.25">
      <c r="A5" s="1"/>
      <c r="B5" s="21"/>
      <c r="C5" s="44"/>
      <c r="D5" s="12" t="s">
        <v>3</v>
      </c>
      <c r="E5" s="12"/>
      <c r="F5" s="55" t="s">
        <v>5</v>
      </c>
      <c r="G5" s="14"/>
      <c r="H5" s="14"/>
      <c r="I5" s="5"/>
      <c r="J5" s="5"/>
      <c r="K5" s="5"/>
      <c r="L5" s="5"/>
      <c r="M5" s="5"/>
      <c r="N5" s="5"/>
      <c r="O5" s="5"/>
      <c r="P5" s="72"/>
    </row>
    <row r="6" spans="1:16" x14ac:dyDescent="0.25">
      <c r="A6" s="1"/>
      <c r="B6" s="22"/>
      <c r="C6" s="45"/>
      <c r="D6" s="15"/>
      <c r="E6" s="15"/>
      <c r="F6" s="16"/>
      <c r="G6" s="14"/>
      <c r="H6" s="14"/>
      <c r="I6" s="5"/>
      <c r="J6" s="5"/>
      <c r="K6" s="5"/>
      <c r="L6" s="5"/>
      <c r="M6" s="5"/>
      <c r="N6" s="5"/>
      <c r="O6" s="5"/>
      <c r="P6" s="72"/>
    </row>
    <row r="7" spans="1:16" x14ac:dyDescent="0.25">
      <c r="A7" s="1"/>
      <c r="B7" s="23"/>
      <c r="C7" s="46"/>
      <c r="D7" s="17"/>
      <c r="E7" s="17"/>
      <c r="F7" s="18"/>
      <c r="G7" s="17"/>
      <c r="H7" s="17"/>
      <c r="I7" s="7"/>
      <c r="J7" s="7"/>
      <c r="K7" s="7"/>
      <c r="L7" s="7"/>
      <c r="M7" s="7"/>
      <c r="N7" s="7"/>
      <c r="O7" s="7"/>
      <c r="P7" s="72"/>
    </row>
    <row r="8" spans="1:16" ht="15.75" thickBot="1" x14ac:dyDescent="0.3">
      <c r="A8" s="1"/>
      <c r="B8" s="26"/>
      <c r="C8" s="47"/>
      <c r="D8" s="27"/>
      <c r="E8" s="27"/>
      <c r="F8" s="28"/>
      <c r="G8" s="17"/>
      <c r="H8" s="17"/>
      <c r="I8" s="7"/>
      <c r="J8" s="7"/>
      <c r="K8" s="7"/>
      <c r="L8" s="7"/>
      <c r="M8" s="7"/>
      <c r="N8" s="7"/>
      <c r="O8" s="7"/>
      <c r="P8" s="72"/>
    </row>
    <row r="9" spans="1:16" ht="15.75" thickBot="1" x14ac:dyDescent="0.3">
      <c r="A9" s="1"/>
      <c r="B9" s="29" t="s">
        <v>4</v>
      </c>
      <c r="C9" s="29" t="s">
        <v>462</v>
      </c>
      <c r="D9" s="29" t="s">
        <v>6</v>
      </c>
      <c r="E9" s="30" t="s">
        <v>116</v>
      </c>
      <c r="F9" s="29" t="s">
        <v>224</v>
      </c>
      <c r="G9" s="30" t="s">
        <v>281</v>
      </c>
      <c r="H9" s="29" t="s">
        <v>463</v>
      </c>
      <c r="I9" s="29" t="s">
        <v>353</v>
      </c>
      <c r="J9" s="29" t="s">
        <v>464</v>
      </c>
      <c r="K9" s="51" t="s">
        <v>461</v>
      </c>
      <c r="L9" s="29" t="s">
        <v>509</v>
      </c>
      <c r="M9" s="29" t="s">
        <v>506</v>
      </c>
      <c r="N9" s="29" t="s">
        <v>507</v>
      </c>
      <c r="O9" s="29" t="s">
        <v>508</v>
      </c>
      <c r="P9" s="56" t="s">
        <v>465</v>
      </c>
    </row>
    <row r="10" spans="1:16" ht="15.75" thickBot="1" x14ac:dyDescent="0.3">
      <c r="A10" s="1"/>
      <c r="B10" s="50">
        <f>ROW(B10) - ROW($B$9)</f>
        <v>1</v>
      </c>
      <c r="C10" s="57" t="s">
        <v>466</v>
      </c>
      <c r="D10" s="36" t="s">
        <v>7</v>
      </c>
      <c r="E10" s="37" t="s">
        <v>117</v>
      </c>
      <c r="F10" s="36" t="s">
        <v>467</v>
      </c>
      <c r="G10" s="37" t="s">
        <v>225</v>
      </c>
      <c r="H10" s="36" t="s">
        <v>480</v>
      </c>
      <c r="I10" s="36" t="s">
        <v>354</v>
      </c>
      <c r="J10" s="36" t="s">
        <v>480</v>
      </c>
      <c r="K10" s="37">
        <v>1</v>
      </c>
      <c r="L10" s="36">
        <v>12</v>
      </c>
      <c r="M10" s="62" t="s">
        <v>514</v>
      </c>
      <c r="N10" s="69">
        <v>0.21779999999999999</v>
      </c>
      <c r="O10" s="63">
        <f>N10*L10</f>
        <v>2.6135999999999999</v>
      </c>
      <c r="P10" s="36"/>
    </row>
    <row r="11" spans="1:16" ht="15.75" thickBot="1" x14ac:dyDescent="0.3">
      <c r="A11" s="1"/>
      <c r="B11" s="50">
        <f t="shared" ref="B11:B119" si="0">ROW(B11) - ROW($B$9)</f>
        <v>2</v>
      </c>
      <c r="C11" s="58" t="s">
        <v>466</v>
      </c>
      <c r="D11" s="38" t="s">
        <v>8</v>
      </c>
      <c r="E11" s="39" t="s">
        <v>118</v>
      </c>
      <c r="F11" s="38" t="s">
        <v>226</v>
      </c>
      <c r="G11" s="39" t="s">
        <v>282</v>
      </c>
      <c r="H11" s="38" t="s">
        <v>480</v>
      </c>
      <c r="I11" s="38" t="s">
        <v>355</v>
      </c>
      <c r="J11" s="38" t="s">
        <v>480</v>
      </c>
      <c r="K11" s="39">
        <v>1</v>
      </c>
      <c r="L11" s="38">
        <v>15</v>
      </c>
      <c r="M11" s="64" t="s">
        <v>514</v>
      </c>
      <c r="N11" s="65">
        <v>0.20350000000000001</v>
      </c>
      <c r="O11" s="65">
        <f t="shared" ref="O11:O74" si="1">N11*L11</f>
        <v>3.0525000000000002</v>
      </c>
      <c r="P11" s="38"/>
    </row>
    <row r="12" spans="1:16" ht="15.75" thickBot="1" x14ac:dyDescent="0.3">
      <c r="A12" s="1"/>
      <c r="B12" s="50">
        <f>ROW(B12) - ROW($B$9)</f>
        <v>3</v>
      </c>
      <c r="C12" s="57" t="s">
        <v>468</v>
      </c>
      <c r="D12" s="36" t="s">
        <v>9</v>
      </c>
      <c r="E12" s="37" t="s">
        <v>119</v>
      </c>
      <c r="F12" s="36" t="s">
        <v>227</v>
      </c>
      <c r="G12" s="37" t="s">
        <v>283</v>
      </c>
      <c r="H12" s="36" t="s">
        <v>480</v>
      </c>
      <c r="I12" s="36" t="s">
        <v>356</v>
      </c>
      <c r="J12" s="36" t="s">
        <v>408</v>
      </c>
      <c r="K12" s="37">
        <v>3</v>
      </c>
      <c r="L12" s="36">
        <v>100</v>
      </c>
      <c r="M12" s="62" t="s">
        <v>514</v>
      </c>
      <c r="N12" s="63">
        <v>0.10210000000000001</v>
      </c>
      <c r="O12" s="63">
        <f t="shared" si="1"/>
        <v>10.210000000000001</v>
      </c>
      <c r="P12" s="36"/>
    </row>
    <row r="13" spans="1:16" ht="15.75" thickBot="1" x14ac:dyDescent="0.3">
      <c r="A13" s="1"/>
      <c r="B13" s="50">
        <f t="shared" si="0"/>
        <v>4</v>
      </c>
      <c r="C13" s="58" t="s">
        <v>468</v>
      </c>
      <c r="D13" s="38" t="s">
        <v>10</v>
      </c>
      <c r="E13" s="39" t="s">
        <v>120</v>
      </c>
      <c r="F13" s="38" t="s">
        <v>227</v>
      </c>
      <c r="G13" s="39" t="s">
        <v>284</v>
      </c>
      <c r="H13" s="38" t="s">
        <v>480</v>
      </c>
      <c r="I13" s="38" t="s">
        <v>356</v>
      </c>
      <c r="J13" s="38" t="s">
        <v>409</v>
      </c>
      <c r="K13" s="39">
        <v>5</v>
      </c>
      <c r="L13" s="38">
        <v>100</v>
      </c>
      <c r="M13" s="64" t="s">
        <v>514</v>
      </c>
      <c r="N13" s="65">
        <v>0.10300000000000001</v>
      </c>
      <c r="O13" s="65">
        <f t="shared" si="1"/>
        <v>10.3</v>
      </c>
      <c r="P13" s="38"/>
    </row>
    <row r="14" spans="1:16" ht="15.75" thickBot="1" x14ac:dyDescent="0.3">
      <c r="A14" s="1"/>
      <c r="B14" s="50">
        <f>ROW(B14) - ROW($B$9)</f>
        <v>5</v>
      </c>
      <c r="C14" s="57" t="s">
        <v>468</v>
      </c>
      <c r="D14" s="36" t="s">
        <v>11</v>
      </c>
      <c r="E14" s="37" t="s">
        <v>121</v>
      </c>
      <c r="F14" s="36" t="s">
        <v>227</v>
      </c>
      <c r="G14" s="37" t="s">
        <v>285</v>
      </c>
      <c r="H14" s="36" t="s">
        <v>480</v>
      </c>
      <c r="I14" s="36" t="s">
        <v>357</v>
      </c>
      <c r="J14" s="36" t="s">
        <v>410</v>
      </c>
      <c r="K14" s="37">
        <v>7</v>
      </c>
      <c r="L14" s="36">
        <v>80</v>
      </c>
      <c r="M14" s="62" t="s">
        <v>514</v>
      </c>
      <c r="N14" s="63">
        <v>0.11810000000000001</v>
      </c>
      <c r="O14" s="63">
        <f t="shared" si="1"/>
        <v>9.4480000000000004</v>
      </c>
      <c r="P14" s="36"/>
    </row>
    <row r="15" spans="1:16" ht="180.75" thickBot="1" x14ac:dyDescent="0.3">
      <c r="A15" s="1"/>
      <c r="B15" s="50">
        <f t="shared" si="0"/>
        <v>6</v>
      </c>
      <c r="C15" s="58" t="s">
        <v>468</v>
      </c>
      <c r="D15" s="38" t="s">
        <v>12</v>
      </c>
      <c r="E15" s="39" t="s">
        <v>122</v>
      </c>
      <c r="F15" s="38" t="s">
        <v>228</v>
      </c>
      <c r="G15" s="39" t="s">
        <v>348</v>
      </c>
      <c r="H15" s="38" t="s">
        <v>480</v>
      </c>
      <c r="I15" s="38" t="s">
        <v>356</v>
      </c>
      <c r="J15" s="38" t="s">
        <v>411</v>
      </c>
      <c r="K15" s="39">
        <v>126</v>
      </c>
      <c r="L15" s="38">
        <v>1300</v>
      </c>
      <c r="M15" s="64" t="s">
        <v>514</v>
      </c>
      <c r="N15" s="65">
        <v>0.1009</v>
      </c>
      <c r="O15" s="65">
        <f t="shared" si="1"/>
        <v>131.17000000000002</v>
      </c>
      <c r="P15" s="38"/>
    </row>
    <row r="16" spans="1:16" ht="24.75" thickBot="1" x14ac:dyDescent="0.3">
      <c r="A16" s="1"/>
      <c r="B16" s="50">
        <f>ROW(B16) - ROW($B$9)</f>
        <v>7</v>
      </c>
      <c r="C16" s="57" t="s">
        <v>468</v>
      </c>
      <c r="D16" s="36" t="s">
        <v>13</v>
      </c>
      <c r="E16" s="37" t="s">
        <v>123</v>
      </c>
      <c r="F16" s="36" t="s">
        <v>227</v>
      </c>
      <c r="G16" s="59" t="s">
        <v>286</v>
      </c>
      <c r="H16" s="36" t="s">
        <v>494</v>
      </c>
      <c r="I16" s="36" t="s">
        <v>358</v>
      </c>
      <c r="J16" s="36" t="s">
        <v>412</v>
      </c>
      <c r="K16" s="37">
        <v>16</v>
      </c>
      <c r="L16" s="36">
        <v>180</v>
      </c>
      <c r="M16" s="62" t="s">
        <v>514</v>
      </c>
      <c r="N16" s="63">
        <v>0.11420000000000001</v>
      </c>
      <c r="O16" s="63">
        <f t="shared" si="1"/>
        <v>20.556000000000001</v>
      </c>
      <c r="P16" s="36"/>
    </row>
    <row r="17" spans="1:16" ht="36.75" thickBot="1" x14ac:dyDescent="0.3">
      <c r="A17" s="1"/>
      <c r="B17" s="50">
        <f t="shared" si="0"/>
        <v>8</v>
      </c>
      <c r="C17" s="58" t="s">
        <v>468</v>
      </c>
      <c r="D17" s="38" t="s">
        <v>15</v>
      </c>
      <c r="E17" s="39" t="s">
        <v>125</v>
      </c>
      <c r="F17" s="38" t="s">
        <v>230</v>
      </c>
      <c r="G17" s="39" t="s">
        <v>288</v>
      </c>
      <c r="H17" s="38" t="s">
        <v>480</v>
      </c>
      <c r="I17" s="38" t="s">
        <v>357</v>
      </c>
      <c r="J17" s="38" t="s">
        <v>413</v>
      </c>
      <c r="K17" s="39">
        <v>25</v>
      </c>
      <c r="L17" s="38">
        <v>280</v>
      </c>
      <c r="M17" s="64" t="s">
        <v>514</v>
      </c>
      <c r="N17" s="65">
        <v>0.11360000000000001</v>
      </c>
      <c r="O17" s="65">
        <f t="shared" si="1"/>
        <v>31.808000000000003</v>
      </c>
      <c r="P17" s="38"/>
    </row>
    <row r="18" spans="1:16" ht="36.75" thickBot="1" x14ac:dyDescent="0.3">
      <c r="A18" s="1"/>
      <c r="B18" s="50">
        <f>ROW(B18) - ROW($B$9)</f>
        <v>9</v>
      </c>
      <c r="C18" s="57" t="s">
        <v>468</v>
      </c>
      <c r="D18" s="36" t="s">
        <v>16</v>
      </c>
      <c r="E18" s="37" t="s">
        <v>126</v>
      </c>
      <c r="F18" s="36" t="s">
        <v>228</v>
      </c>
      <c r="G18" s="37" t="s">
        <v>289</v>
      </c>
      <c r="H18" s="36" t="s">
        <v>480</v>
      </c>
      <c r="I18" s="36" t="s">
        <v>359</v>
      </c>
      <c r="J18" s="36" t="s">
        <v>414</v>
      </c>
      <c r="K18" s="37">
        <v>27</v>
      </c>
      <c r="L18" s="36">
        <v>300</v>
      </c>
      <c r="M18" s="62" t="s">
        <v>514</v>
      </c>
      <c r="N18" s="63">
        <v>0.1052</v>
      </c>
      <c r="O18" s="63">
        <f t="shared" si="1"/>
        <v>31.560000000000002</v>
      </c>
      <c r="P18" s="36"/>
    </row>
    <row r="19" spans="1:16" ht="24.75" thickBot="1" x14ac:dyDescent="0.3">
      <c r="A19" s="1"/>
      <c r="B19" s="50">
        <f t="shared" si="0"/>
        <v>10</v>
      </c>
      <c r="C19" s="58" t="s">
        <v>468</v>
      </c>
      <c r="D19" s="38" t="s">
        <v>17</v>
      </c>
      <c r="E19" s="39" t="s">
        <v>127</v>
      </c>
      <c r="F19" s="38" t="s">
        <v>227</v>
      </c>
      <c r="G19" s="39" t="s">
        <v>290</v>
      </c>
      <c r="H19" s="38" t="s">
        <v>480</v>
      </c>
      <c r="I19" s="38" t="s">
        <v>356</v>
      </c>
      <c r="J19" s="38" t="s">
        <v>415</v>
      </c>
      <c r="K19" s="39">
        <v>9</v>
      </c>
      <c r="L19" s="38">
        <v>100</v>
      </c>
      <c r="M19" s="64" t="s">
        <v>514</v>
      </c>
      <c r="N19" s="65">
        <v>0.10310000000000001</v>
      </c>
      <c r="O19" s="65">
        <f t="shared" si="1"/>
        <v>10.31</v>
      </c>
      <c r="P19" s="38"/>
    </row>
    <row r="20" spans="1:16" ht="15.75" thickBot="1" x14ac:dyDescent="0.3">
      <c r="A20" s="1"/>
      <c r="B20" s="50">
        <f>ROW(B20) - ROW($B$9)</f>
        <v>11</v>
      </c>
      <c r="C20" s="57" t="s">
        <v>468</v>
      </c>
      <c r="D20" s="36" t="s">
        <v>18</v>
      </c>
      <c r="E20" s="37" t="s">
        <v>128</v>
      </c>
      <c r="F20" s="36" t="s">
        <v>227</v>
      </c>
      <c r="G20" s="37" t="s">
        <v>291</v>
      </c>
      <c r="H20" s="36" t="s">
        <v>480</v>
      </c>
      <c r="I20" s="36" t="s">
        <v>357</v>
      </c>
      <c r="J20" s="36" t="s">
        <v>416</v>
      </c>
      <c r="K20" s="37">
        <v>4</v>
      </c>
      <c r="L20" s="36">
        <v>50</v>
      </c>
      <c r="M20" s="62" t="s">
        <v>514</v>
      </c>
      <c r="N20" s="63">
        <v>0.10750000000000001</v>
      </c>
      <c r="O20" s="63">
        <f t="shared" si="1"/>
        <v>5.3750000000000009</v>
      </c>
      <c r="P20" s="36"/>
    </row>
    <row r="21" spans="1:16" ht="15.75" thickBot="1" x14ac:dyDescent="0.3">
      <c r="A21" s="1"/>
      <c r="B21" s="50">
        <f t="shared" si="0"/>
        <v>12</v>
      </c>
      <c r="C21" s="58" t="s">
        <v>468</v>
      </c>
      <c r="D21" s="38" t="s">
        <v>19</v>
      </c>
      <c r="E21" s="39" t="s">
        <v>129</v>
      </c>
      <c r="F21" s="38" t="s">
        <v>227</v>
      </c>
      <c r="G21" s="39" t="s">
        <v>292</v>
      </c>
      <c r="H21" s="38" t="s">
        <v>480</v>
      </c>
      <c r="I21" s="38" t="s">
        <v>356</v>
      </c>
      <c r="J21" s="38" t="s">
        <v>417</v>
      </c>
      <c r="K21" s="39">
        <v>6</v>
      </c>
      <c r="L21" s="38">
        <v>100</v>
      </c>
      <c r="M21" s="64" t="s">
        <v>514</v>
      </c>
      <c r="N21" s="65">
        <v>0.10290000000000001</v>
      </c>
      <c r="O21" s="65">
        <f t="shared" si="1"/>
        <v>10.290000000000001</v>
      </c>
      <c r="P21" s="38"/>
    </row>
    <row r="22" spans="1:16" ht="15.75" thickBot="1" x14ac:dyDescent="0.3">
      <c r="A22" s="1"/>
      <c r="B22" s="50">
        <f>ROW(B22) - ROW($B$9)</f>
        <v>13</v>
      </c>
      <c r="C22" s="57" t="s">
        <v>468</v>
      </c>
      <c r="D22" s="36" t="s">
        <v>20</v>
      </c>
      <c r="E22" s="37" t="s">
        <v>130</v>
      </c>
      <c r="F22" s="36" t="s">
        <v>227</v>
      </c>
      <c r="G22" s="37" t="s">
        <v>293</v>
      </c>
      <c r="H22" s="36" t="s">
        <v>480</v>
      </c>
      <c r="I22" s="36" t="s">
        <v>356</v>
      </c>
      <c r="J22" s="36" t="s">
        <v>418</v>
      </c>
      <c r="K22" s="37">
        <v>1</v>
      </c>
      <c r="L22" s="36">
        <v>50</v>
      </c>
      <c r="M22" s="62" t="s">
        <v>514</v>
      </c>
      <c r="N22" s="63">
        <v>0.11330000000000001</v>
      </c>
      <c r="O22" s="63">
        <f t="shared" si="1"/>
        <v>5.6650000000000009</v>
      </c>
      <c r="P22" s="36"/>
    </row>
    <row r="23" spans="1:16" ht="24.75" thickBot="1" x14ac:dyDescent="0.3">
      <c r="A23" s="1"/>
      <c r="B23" s="50">
        <f t="shared" si="0"/>
        <v>14</v>
      </c>
      <c r="C23" s="58" t="s">
        <v>468</v>
      </c>
      <c r="D23" s="38" t="s">
        <v>21</v>
      </c>
      <c r="E23" s="39" t="s">
        <v>131</v>
      </c>
      <c r="F23" s="38" t="s">
        <v>227</v>
      </c>
      <c r="G23" s="39" t="s">
        <v>294</v>
      </c>
      <c r="H23" s="38" t="s">
        <v>480</v>
      </c>
      <c r="I23" s="38" t="s">
        <v>356</v>
      </c>
      <c r="J23" s="38" t="s">
        <v>419</v>
      </c>
      <c r="K23" s="39">
        <v>2</v>
      </c>
      <c r="L23" s="38">
        <v>100</v>
      </c>
      <c r="M23" s="64" t="s">
        <v>514</v>
      </c>
      <c r="N23" s="65">
        <v>0.1027</v>
      </c>
      <c r="O23" s="65">
        <f t="shared" si="1"/>
        <v>10.27</v>
      </c>
      <c r="P23" s="38"/>
    </row>
    <row r="24" spans="1:16" ht="24.75" thickBot="1" x14ac:dyDescent="0.3">
      <c r="A24" s="1"/>
      <c r="B24" s="50">
        <f>ROW(B24) - ROW($B$9)</f>
        <v>15</v>
      </c>
      <c r="C24" s="57" t="s">
        <v>468</v>
      </c>
      <c r="D24" s="36" t="s">
        <v>22</v>
      </c>
      <c r="E24" s="37" t="s">
        <v>132</v>
      </c>
      <c r="F24" s="36" t="s">
        <v>229</v>
      </c>
      <c r="G24" s="37" t="s">
        <v>295</v>
      </c>
      <c r="H24" s="36" t="s">
        <v>480</v>
      </c>
      <c r="I24" s="36" t="s">
        <v>360</v>
      </c>
      <c r="J24" s="36" t="s">
        <v>410</v>
      </c>
      <c r="K24" s="37">
        <v>2</v>
      </c>
      <c r="L24" s="36">
        <v>50</v>
      </c>
      <c r="M24" s="62" t="s">
        <v>514</v>
      </c>
      <c r="N24" s="63">
        <v>0.115</v>
      </c>
      <c r="O24" s="63">
        <f t="shared" si="1"/>
        <v>5.75</v>
      </c>
      <c r="P24" s="36"/>
    </row>
    <row r="25" spans="1:16" ht="24.75" thickBot="1" x14ac:dyDescent="0.3">
      <c r="A25" s="1"/>
      <c r="B25" s="50">
        <f t="shared" si="0"/>
        <v>16</v>
      </c>
      <c r="C25" s="58" t="s">
        <v>468</v>
      </c>
      <c r="D25" s="38" t="s">
        <v>14</v>
      </c>
      <c r="E25" s="39" t="s">
        <v>124</v>
      </c>
      <c r="F25" s="38" t="s">
        <v>229</v>
      </c>
      <c r="G25" s="60" t="s">
        <v>287</v>
      </c>
      <c r="H25" s="38" t="s">
        <v>495</v>
      </c>
      <c r="I25" s="38" t="s">
        <v>359</v>
      </c>
      <c r="J25" s="38" t="s">
        <v>411</v>
      </c>
      <c r="K25" s="39">
        <v>10</v>
      </c>
      <c r="L25" s="38">
        <v>150</v>
      </c>
      <c r="M25" s="64" t="s">
        <v>514</v>
      </c>
      <c r="N25" s="65">
        <v>0.10700000000000001</v>
      </c>
      <c r="O25" s="65">
        <f t="shared" si="1"/>
        <v>16.05</v>
      </c>
      <c r="P25" s="38"/>
    </row>
    <row r="26" spans="1:16" ht="15.75" thickBot="1" x14ac:dyDescent="0.3">
      <c r="A26" s="1"/>
      <c r="B26" s="50">
        <f>ROW(B26) - ROW($B$9)</f>
        <v>17</v>
      </c>
      <c r="C26" s="57" t="s">
        <v>468</v>
      </c>
      <c r="D26" s="36" t="s">
        <v>23</v>
      </c>
      <c r="E26" s="37" t="s">
        <v>133</v>
      </c>
      <c r="F26" s="36" t="s">
        <v>227</v>
      </c>
      <c r="G26" s="37" t="s">
        <v>296</v>
      </c>
      <c r="H26" s="36" t="s">
        <v>480</v>
      </c>
      <c r="I26" s="36" t="s">
        <v>356</v>
      </c>
      <c r="J26" s="36" t="s">
        <v>420</v>
      </c>
      <c r="K26" s="37">
        <v>4</v>
      </c>
      <c r="L26" s="36">
        <v>100</v>
      </c>
      <c r="M26" s="62" t="s">
        <v>514</v>
      </c>
      <c r="N26" s="63">
        <v>0.1028</v>
      </c>
      <c r="O26" s="63">
        <f t="shared" si="1"/>
        <v>10.280000000000001</v>
      </c>
      <c r="P26" s="36"/>
    </row>
    <row r="27" spans="1:16" ht="15.75" thickBot="1" x14ac:dyDescent="0.3">
      <c r="A27" s="1"/>
      <c r="B27" s="50">
        <f t="shared" si="0"/>
        <v>18</v>
      </c>
      <c r="C27" s="58" t="s">
        <v>469</v>
      </c>
      <c r="D27" s="38" t="s">
        <v>24</v>
      </c>
      <c r="E27" s="39" t="s">
        <v>134</v>
      </c>
      <c r="F27" s="38" t="s">
        <v>231</v>
      </c>
      <c r="G27" s="39" t="s">
        <v>297</v>
      </c>
      <c r="H27" s="38" t="s">
        <v>480</v>
      </c>
      <c r="I27" s="38" t="s">
        <v>361</v>
      </c>
      <c r="J27" s="38" t="s">
        <v>480</v>
      </c>
      <c r="K27" s="39">
        <v>8</v>
      </c>
      <c r="L27" s="38">
        <v>100</v>
      </c>
      <c r="M27" s="64" t="s">
        <v>514</v>
      </c>
      <c r="N27" s="65">
        <v>0.1202</v>
      </c>
      <c r="O27" s="65">
        <f t="shared" si="1"/>
        <v>12.02</v>
      </c>
      <c r="P27" s="38"/>
    </row>
    <row r="28" spans="1:16" ht="24.75" thickBot="1" x14ac:dyDescent="0.3">
      <c r="A28" s="1"/>
      <c r="B28" s="50">
        <f>ROW(B28) - ROW($B$9)</f>
        <v>19</v>
      </c>
      <c r="C28" s="57" t="s">
        <v>469</v>
      </c>
      <c r="D28" s="36" t="s">
        <v>25</v>
      </c>
      <c r="E28" s="37" t="s">
        <v>135</v>
      </c>
      <c r="F28" s="36" t="s">
        <v>232</v>
      </c>
      <c r="G28" s="37" t="s">
        <v>298</v>
      </c>
      <c r="H28" s="36" t="s">
        <v>480</v>
      </c>
      <c r="I28" s="36" t="s">
        <v>362</v>
      </c>
      <c r="J28" s="36" t="s">
        <v>480</v>
      </c>
      <c r="K28" s="37">
        <v>6</v>
      </c>
      <c r="L28" s="36">
        <v>100</v>
      </c>
      <c r="M28" s="62" t="s">
        <v>514</v>
      </c>
      <c r="N28" s="63">
        <v>0.11950000000000001</v>
      </c>
      <c r="O28" s="63">
        <f t="shared" si="1"/>
        <v>11.950000000000001</v>
      </c>
      <c r="P28" s="36"/>
    </row>
    <row r="29" spans="1:16" ht="24.75" thickBot="1" x14ac:dyDescent="0.3">
      <c r="A29" s="1"/>
      <c r="B29" s="50">
        <f t="shared" si="0"/>
        <v>20</v>
      </c>
      <c r="C29" s="58" t="s">
        <v>469</v>
      </c>
      <c r="D29" s="38" t="s">
        <v>26</v>
      </c>
      <c r="E29" s="39" t="s">
        <v>136</v>
      </c>
      <c r="F29" s="38" t="s">
        <v>233</v>
      </c>
      <c r="G29" s="39" t="s">
        <v>299</v>
      </c>
      <c r="H29" s="38" t="s">
        <v>480</v>
      </c>
      <c r="I29" s="38" t="s">
        <v>363</v>
      </c>
      <c r="J29" s="38" t="s">
        <v>480</v>
      </c>
      <c r="K29" s="39">
        <v>3</v>
      </c>
      <c r="L29" s="38">
        <v>40</v>
      </c>
      <c r="M29" s="64" t="s">
        <v>514</v>
      </c>
      <c r="N29" s="65">
        <v>0.1477</v>
      </c>
      <c r="O29" s="65">
        <f t="shared" si="1"/>
        <v>5.9079999999999995</v>
      </c>
      <c r="P29" s="38"/>
    </row>
    <row r="30" spans="1:16" ht="24.75" thickBot="1" x14ac:dyDescent="0.3">
      <c r="A30" s="1"/>
      <c r="B30" s="50">
        <f>ROW(B30) - ROW($B$9)</f>
        <v>21</v>
      </c>
      <c r="C30" s="57" t="s">
        <v>469</v>
      </c>
      <c r="D30" s="36" t="s">
        <v>27</v>
      </c>
      <c r="E30" s="37" t="s">
        <v>137</v>
      </c>
      <c r="F30" s="36" t="s">
        <v>232</v>
      </c>
      <c r="G30" s="37" t="s">
        <v>300</v>
      </c>
      <c r="H30" s="36" t="s">
        <v>480</v>
      </c>
      <c r="I30" s="36" t="s">
        <v>364</v>
      </c>
      <c r="J30" s="36" t="s">
        <v>480</v>
      </c>
      <c r="K30" s="37">
        <v>8</v>
      </c>
      <c r="L30" s="36">
        <v>100</v>
      </c>
      <c r="M30" s="62" t="s">
        <v>514</v>
      </c>
      <c r="N30" s="63">
        <v>0.12920000000000001</v>
      </c>
      <c r="O30" s="63">
        <f t="shared" si="1"/>
        <v>12.920000000000002</v>
      </c>
      <c r="P30" s="36"/>
    </row>
    <row r="31" spans="1:16" ht="24.75" thickBot="1" x14ac:dyDescent="0.3">
      <c r="A31" s="1"/>
      <c r="B31" s="50">
        <f t="shared" si="0"/>
        <v>22</v>
      </c>
      <c r="C31" s="58" t="s">
        <v>469</v>
      </c>
      <c r="D31" s="38" t="s">
        <v>28</v>
      </c>
      <c r="E31" s="39" t="s">
        <v>138</v>
      </c>
      <c r="F31" s="38" t="s">
        <v>234</v>
      </c>
      <c r="G31" s="39" t="s">
        <v>301</v>
      </c>
      <c r="H31" s="38" t="s">
        <v>480</v>
      </c>
      <c r="I31" s="38" t="s">
        <v>362</v>
      </c>
      <c r="J31" s="38" t="s">
        <v>480</v>
      </c>
      <c r="K31" s="39">
        <v>5</v>
      </c>
      <c r="L31" s="38">
        <v>55</v>
      </c>
      <c r="M31" s="64" t="s">
        <v>514</v>
      </c>
      <c r="N31" s="65">
        <v>0.21610000000000001</v>
      </c>
      <c r="O31" s="65">
        <f t="shared" si="1"/>
        <v>11.8855</v>
      </c>
      <c r="P31" s="38"/>
    </row>
    <row r="32" spans="1:16" ht="24.75" thickBot="1" x14ac:dyDescent="0.3">
      <c r="A32" s="1"/>
      <c r="B32" s="50">
        <f>ROW(B32) - ROW($B$9)</f>
        <v>23</v>
      </c>
      <c r="C32" s="57" t="s">
        <v>469</v>
      </c>
      <c r="D32" s="36" t="s">
        <v>29</v>
      </c>
      <c r="E32" s="37" t="s">
        <v>139</v>
      </c>
      <c r="F32" s="36" t="s">
        <v>235</v>
      </c>
      <c r="G32" s="37" t="s">
        <v>302</v>
      </c>
      <c r="H32" s="36" t="s">
        <v>480</v>
      </c>
      <c r="I32" s="36" t="s">
        <v>364</v>
      </c>
      <c r="J32" s="36" t="s">
        <v>480</v>
      </c>
      <c r="K32" s="37">
        <v>3</v>
      </c>
      <c r="L32" s="36">
        <v>35</v>
      </c>
      <c r="M32" s="62" t="s">
        <v>514</v>
      </c>
      <c r="N32" s="63">
        <v>0.18359999999999999</v>
      </c>
      <c r="O32" s="63">
        <f t="shared" si="1"/>
        <v>6.4259999999999993</v>
      </c>
      <c r="P32" s="36"/>
    </row>
    <row r="33" spans="1:16" ht="24.75" thickBot="1" x14ac:dyDescent="0.3">
      <c r="A33" s="1"/>
      <c r="B33" s="50">
        <f t="shared" si="0"/>
        <v>24</v>
      </c>
      <c r="C33" s="58" t="s">
        <v>469</v>
      </c>
      <c r="D33" s="38" t="s">
        <v>30</v>
      </c>
      <c r="E33" s="39" t="s">
        <v>140</v>
      </c>
      <c r="F33" s="38" t="s">
        <v>236</v>
      </c>
      <c r="G33" s="39" t="s">
        <v>303</v>
      </c>
      <c r="H33" s="38" t="s">
        <v>480</v>
      </c>
      <c r="I33" s="38" t="s">
        <v>365</v>
      </c>
      <c r="J33" s="38" t="s">
        <v>480</v>
      </c>
      <c r="K33" s="39">
        <v>1</v>
      </c>
      <c r="L33" s="38">
        <v>12</v>
      </c>
      <c r="M33" s="64" t="s">
        <v>514</v>
      </c>
      <c r="N33" s="65">
        <v>0.41849999999999998</v>
      </c>
      <c r="O33" s="65">
        <f t="shared" si="1"/>
        <v>5.0220000000000002</v>
      </c>
      <c r="P33" s="38"/>
    </row>
    <row r="34" spans="1:16" ht="24.75" thickBot="1" x14ac:dyDescent="0.3">
      <c r="A34" s="1"/>
      <c r="B34" s="50">
        <f>ROW(B34) - ROW($B$9)</f>
        <v>25</v>
      </c>
      <c r="C34" s="57" t="s">
        <v>469</v>
      </c>
      <c r="D34" s="36" t="s">
        <v>470</v>
      </c>
      <c r="E34" s="37" t="s">
        <v>141</v>
      </c>
      <c r="F34" s="36" t="s">
        <v>232</v>
      </c>
      <c r="G34" s="37" t="s">
        <v>421</v>
      </c>
      <c r="H34" s="36" t="s">
        <v>480</v>
      </c>
      <c r="I34" s="36" t="s">
        <v>364</v>
      </c>
      <c r="J34" s="36" t="s">
        <v>480</v>
      </c>
      <c r="K34" s="37">
        <v>1</v>
      </c>
      <c r="L34" s="36">
        <v>20</v>
      </c>
      <c r="M34" s="62" t="s">
        <v>514</v>
      </c>
      <c r="N34" s="63">
        <v>0.13620000000000002</v>
      </c>
      <c r="O34" s="63">
        <f t="shared" si="1"/>
        <v>2.7240000000000002</v>
      </c>
      <c r="P34" s="36"/>
    </row>
    <row r="35" spans="1:16" ht="24.75" thickBot="1" x14ac:dyDescent="0.3">
      <c r="A35" s="1"/>
      <c r="B35" s="50">
        <f t="shared" si="0"/>
        <v>26</v>
      </c>
      <c r="C35" s="58" t="s">
        <v>471</v>
      </c>
      <c r="D35" s="38" t="s">
        <v>31</v>
      </c>
      <c r="E35" s="39" t="s">
        <v>142</v>
      </c>
      <c r="F35" s="38" t="s">
        <v>237</v>
      </c>
      <c r="G35" s="39" t="s">
        <v>304</v>
      </c>
      <c r="H35" s="38" t="s">
        <v>480</v>
      </c>
      <c r="I35" s="38" t="s">
        <v>366</v>
      </c>
      <c r="J35" s="38" t="s">
        <v>480</v>
      </c>
      <c r="K35" s="39">
        <v>1</v>
      </c>
      <c r="L35" s="38">
        <v>20</v>
      </c>
      <c r="M35" s="64" t="s">
        <v>514</v>
      </c>
      <c r="N35" s="65">
        <v>0.14900000000000002</v>
      </c>
      <c r="O35" s="65">
        <f t="shared" si="1"/>
        <v>2.9800000000000004</v>
      </c>
      <c r="P35" s="38"/>
    </row>
    <row r="36" spans="1:16" ht="15.75" thickBot="1" x14ac:dyDescent="0.3">
      <c r="A36" s="1"/>
      <c r="B36" s="50">
        <f>ROW(B36) - ROW($B$9)</f>
        <v>27</v>
      </c>
      <c r="C36" s="57" t="s">
        <v>472</v>
      </c>
      <c r="D36" s="36" t="s">
        <v>32</v>
      </c>
      <c r="E36" s="37" t="s">
        <v>143</v>
      </c>
      <c r="F36" s="36" t="s">
        <v>467</v>
      </c>
      <c r="G36" s="37" t="s">
        <v>238</v>
      </c>
      <c r="H36" s="36" t="s">
        <v>480</v>
      </c>
      <c r="I36" s="36" t="s">
        <v>358</v>
      </c>
      <c r="J36" s="36" t="s">
        <v>480</v>
      </c>
      <c r="K36" s="37">
        <v>1</v>
      </c>
      <c r="L36" s="36">
        <v>20</v>
      </c>
      <c r="M36" s="62" t="s">
        <v>514</v>
      </c>
      <c r="N36" s="63">
        <v>0.12820000000000001</v>
      </c>
      <c r="O36" s="63">
        <f t="shared" si="1"/>
        <v>2.5640000000000001</v>
      </c>
      <c r="P36" s="36"/>
    </row>
    <row r="37" spans="1:16" ht="15.75" thickBot="1" x14ac:dyDescent="0.3">
      <c r="A37" s="1"/>
      <c r="B37" s="50">
        <f t="shared" si="0"/>
        <v>28</v>
      </c>
      <c r="C37" s="58" t="s">
        <v>473</v>
      </c>
      <c r="D37" s="38" t="s">
        <v>33</v>
      </c>
      <c r="E37" s="39" t="s">
        <v>144</v>
      </c>
      <c r="F37" s="38" t="s">
        <v>467</v>
      </c>
      <c r="G37" s="39" t="s">
        <v>239</v>
      </c>
      <c r="H37" s="38" t="s">
        <v>480</v>
      </c>
      <c r="I37" s="38" t="s">
        <v>367</v>
      </c>
      <c r="J37" s="38" t="s">
        <v>480</v>
      </c>
      <c r="K37" s="39">
        <v>1</v>
      </c>
      <c r="L37" s="38">
        <v>12</v>
      </c>
      <c r="M37" s="64" t="s">
        <v>514</v>
      </c>
      <c r="N37" s="65">
        <v>0.67669999999999997</v>
      </c>
      <c r="O37" s="65">
        <f t="shared" si="1"/>
        <v>8.1204000000000001</v>
      </c>
      <c r="P37" s="38"/>
    </row>
    <row r="38" spans="1:16" ht="15.75" thickBot="1" x14ac:dyDescent="0.3">
      <c r="A38" s="1"/>
      <c r="B38" s="50">
        <f>ROW(B38) - ROW($B$9)</f>
        <v>29</v>
      </c>
      <c r="C38" s="57" t="s">
        <v>473</v>
      </c>
      <c r="D38" s="36" t="s">
        <v>34</v>
      </c>
      <c r="E38" s="37" t="s">
        <v>145</v>
      </c>
      <c r="F38" s="36" t="s">
        <v>467</v>
      </c>
      <c r="G38" s="59">
        <v>61400416021</v>
      </c>
      <c r="H38" s="36" t="s">
        <v>496</v>
      </c>
      <c r="I38" s="36" t="s">
        <v>368</v>
      </c>
      <c r="J38" s="36" t="s">
        <v>480</v>
      </c>
      <c r="K38" s="37">
        <v>1</v>
      </c>
      <c r="L38" s="36">
        <v>11</v>
      </c>
      <c r="M38" s="62" t="s">
        <v>514</v>
      </c>
      <c r="N38" s="63">
        <v>0.23469999999999999</v>
      </c>
      <c r="O38" s="63">
        <f t="shared" si="1"/>
        <v>2.5817000000000001</v>
      </c>
      <c r="P38" s="36"/>
    </row>
    <row r="39" spans="1:16" ht="48.75" thickBot="1" x14ac:dyDescent="0.3">
      <c r="A39" s="1"/>
      <c r="B39" s="50">
        <f t="shared" si="0"/>
        <v>30</v>
      </c>
      <c r="C39" s="58" t="s">
        <v>473</v>
      </c>
      <c r="D39" s="38" t="s">
        <v>35</v>
      </c>
      <c r="E39" s="39" t="s">
        <v>146</v>
      </c>
      <c r="F39" s="38" t="s">
        <v>467</v>
      </c>
      <c r="G39" s="39" t="s">
        <v>240</v>
      </c>
      <c r="H39" s="38" t="s">
        <v>480</v>
      </c>
      <c r="I39" s="38" t="s">
        <v>369</v>
      </c>
      <c r="J39" s="38" t="s">
        <v>480</v>
      </c>
      <c r="K39" s="39">
        <v>1</v>
      </c>
      <c r="L39" s="38">
        <v>12</v>
      </c>
      <c r="M39" s="64" t="s">
        <v>514</v>
      </c>
      <c r="N39" s="65">
        <v>0.23569999999999999</v>
      </c>
      <c r="O39" s="65">
        <f t="shared" si="1"/>
        <v>2.8283999999999998</v>
      </c>
      <c r="P39" s="38"/>
    </row>
    <row r="40" spans="1:16" ht="15.75" thickBot="1" x14ac:dyDescent="0.3">
      <c r="A40" s="1"/>
      <c r="B40" s="50">
        <f>ROW(B40) - ROW($B$9)</f>
        <v>31</v>
      </c>
      <c r="C40" s="57" t="s">
        <v>473</v>
      </c>
      <c r="D40" s="36" t="s">
        <v>36</v>
      </c>
      <c r="E40" s="37" t="s">
        <v>147</v>
      </c>
      <c r="F40" s="36" t="s">
        <v>467</v>
      </c>
      <c r="G40" s="37" t="s">
        <v>241</v>
      </c>
      <c r="H40" s="36" t="s">
        <v>480</v>
      </c>
      <c r="I40" s="36" t="s">
        <v>370</v>
      </c>
      <c r="J40" s="36" t="s">
        <v>480</v>
      </c>
      <c r="K40" s="37">
        <v>1</v>
      </c>
      <c r="L40" s="36">
        <v>11</v>
      </c>
      <c r="M40" s="62" t="s">
        <v>514</v>
      </c>
      <c r="N40" s="63">
        <v>1.8351000000000002</v>
      </c>
      <c r="O40" s="63">
        <f t="shared" si="1"/>
        <v>20.186100000000003</v>
      </c>
      <c r="P40" s="36"/>
    </row>
    <row r="41" spans="1:16" ht="15.75" thickBot="1" x14ac:dyDescent="0.3">
      <c r="A41" s="1"/>
      <c r="B41" s="50">
        <f t="shared" si="0"/>
        <v>32</v>
      </c>
      <c r="C41" s="58" t="s">
        <v>473</v>
      </c>
      <c r="D41" s="38" t="s">
        <v>37</v>
      </c>
      <c r="E41" s="39" t="s">
        <v>148</v>
      </c>
      <c r="F41" s="38" t="s">
        <v>467</v>
      </c>
      <c r="G41" s="39" t="s">
        <v>242</v>
      </c>
      <c r="H41" s="38" t="s">
        <v>480</v>
      </c>
      <c r="I41" s="38" t="s">
        <v>371</v>
      </c>
      <c r="J41" s="38" t="s">
        <v>480</v>
      </c>
      <c r="K41" s="39">
        <v>1</v>
      </c>
      <c r="L41" s="38">
        <v>12</v>
      </c>
      <c r="M41" s="64" t="s">
        <v>514</v>
      </c>
      <c r="N41" s="65">
        <v>0.52870000000000006</v>
      </c>
      <c r="O41" s="65">
        <f t="shared" si="1"/>
        <v>6.3444000000000003</v>
      </c>
      <c r="P41" s="38"/>
    </row>
    <row r="42" spans="1:16" ht="15.75" thickBot="1" x14ac:dyDescent="0.3">
      <c r="A42" s="1"/>
      <c r="B42" s="50">
        <f>ROW(B42) - ROW($B$9)</f>
        <v>33</v>
      </c>
      <c r="C42" s="57" t="s">
        <v>473</v>
      </c>
      <c r="D42" s="36" t="s">
        <v>38</v>
      </c>
      <c r="E42" s="37" t="s">
        <v>149</v>
      </c>
      <c r="F42" s="36" t="s">
        <v>467</v>
      </c>
      <c r="G42" s="37" t="s">
        <v>243</v>
      </c>
      <c r="H42" s="36" t="s">
        <v>480</v>
      </c>
      <c r="I42" s="36" t="s">
        <v>372</v>
      </c>
      <c r="J42" s="36" t="s">
        <v>480</v>
      </c>
      <c r="K42" s="37">
        <v>2</v>
      </c>
      <c r="L42" s="36">
        <v>25</v>
      </c>
      <c r="M42" s="62" t="s">
        <v>514</v>
      </c>
      <c r="N42" s="63">
        <v>0.1875</v>
      </c>
      <c r="O42" s="63">
        <f t="shared" si="1"/>
        <v>4.6875</v>
      </c>
      <c r="P42" s="36"/>
    </row>
    <row r="43" spans="1:16" ht="48.75" thickBot="1" x14ac:dyDescent="0.3">
      <c r="A43" s="1"/>
      <c r="B43" s="50">
        <f t="shared" si="0"/>
        <v>34</v>
      </c>
      <c r="C43" s="58" t="s">
        <v>474</v>
      </c>
      <c r="D43" s="38" t="s">
        <v>39</v>
      </c>
      <c r="E43" s="39" t="s">
        <v>150</v>
      </c>
      <c r="F43" s="38" t="s">
        <v>244</v>
      </c>
      <c r="G43" s="39" t="s">
        <v>305</v>
      </c>
      <c r="H43" s="38" t="s">
        <v>480</v>
      </c>
      <c r="I43" s="38" t="s">
        <v>373</v>
      </c>
      <c r="J43" s="38" t="s">
        <v>480</v>
      </c>
      <c r="K43" s="39">
        <v>1</v>
      </c>
      <c r="L43" s="38">
        <v>20</v>
      </c>
      <c r="M43" s="64" t="s">
        <v>514</v>
      </c>
      <c r="N43" s="65">
        <v>0.1447</v>
      </c>
      <c r="O43" s="65">
        <f t="shared" si="1"/>
        <v>2.8940000000000001</v>
      </c>
      <c r="P43" s="38"/>
    </row>
    <row r="44" spans="1:16" ht="36.75" thickBot="1" x14ac:dyDescent="0.3">
      <c r="A44" s="1"/>
      <c r="B44" s="50">
        <f>ROW(B44) - ROW($B$9)</f>
        <v>35</v>
      </c>
      <c r="C44" s="57" t="s">
        <v>473</v>
      </c>
      <c r="D44" s="36" t="s">
        <v>40</v>
      </c>
      <c r="E44" s="37" t="s">
        <v>151</v>
      </c>
      <c r="F44" s="36" t="s">
        <v>467</v>
      </c>
      <c r="G44" s="37" t="s">
        <v>306</v>
      </c>
      <c r="H44" s="36" t="s">
        <v>480</v>
      </c>
      <c r="I44" s="36" t="s">
        <v>367</v>
      </c>
      <c r="J44" s="36" t="s">
        <v>480</v>
      </c>
      <c r="K44" s="37">
        <v>1</v>
      </c>
      <c r="L44" s="36">
        <v>12</v>
      </c>
      <c r="M44" s="62" t="s">
        <v>514</v>
      </c>
      <c r="N44" s="63">
        <v>0.40129999999999999</v>
      </c>
      <c r="O44" s="63">
        <f t="shared" si="1"/>
        <v>4.8155999999999999</v>
      </c>
      <c r="P44" s="36"/>
    </row>
    <row r="45" spans="1:16" ht="36.75" thickBot="1" x14ac:dyDescent="0.3">
      <c r="A45" s="1"/>
      <c r="B45" s="50">
        <f t="shared" si="0"/>
        <v>36</v>
      </c>
      <c r="C45" s="58" t="s">
        <v>473</v>
      </c>
      <c r="D45" s="38" t="s">
        <v>41</v>
      </c>
      <c r="E45" s="39" t="s">
        <v>152</v>
      </c>
      <c r="F45" s="38" t="s">
        <v>467</v>
      </c>
      <c r="G45" s="39" t="s">
        <v>245</v>
      </c>
      <c r="H45" s="38" t="s">
        <v>480</v>
      </c>
      <c r="I45" s="38" t="s">
        <v>369</v>
      </c>
      <c r="J45" s="38" t="s">
        <v>480</v>
      </c>
      <c r="K45" s="39">
        <v>1</v>
      </c>
      <c r="L45" s="38">
        <v>12</v>
      </c>
      <c r="M45" s="64" t="s">
        <v>514</v>
      </c>
      <c r="N45" s="65">
        <v>0.76449999999999996</v>
      </c>
      <c r="O45" s="65">
        <f t="shared" si="1"/>
        <v>9.1739999999999995</v>
      </c>
      <c r="P45" s="38"/>
    </row>
    <row r="46" spans="1:16" ht="24.75" thickBot="1" x14ac:dyDescent="0.3">
      <c r="A46" s="1"/>
      <c r="B46" s="50">
        <f>ROW(B46) - ROW($B$9)</f>
        <v>37</v>
      </c>
      <c r="C46" s="57" t="s">
        <v>473</v>
      </c>
      <c r="D46" s="36" t="s">
        <v>42</v>
      </c>
      <c r="E46" s="37" t="s">
        <v>153</v>
      </c>
      <c r="F46" s="36" t="s">
        <v>467</v>
      </c>
      <c r="G46" s="37" t="s">
        <v>246</v>
      </c>
      <c r="H46" s="36" t="s">
        <v>480</v>
      </c>
      <c r="I46" s="36" t="s">
        <v>374</v>
      </c>
      <c r="J46" s="36" t="s">
        <v>480</v>
      </c>
      <c r="K46" s="37">
        <v>1</v>
      </c>
      <c r="L46" s="36">
        <v>12</v>
      </c>
      <c r="M46" s="62" t="s">
        <v>514</v>
      </c>
      <c r="N46" s="63">
        <v>0.27039999999999997</v>
      </c>
      <c r="O46" s="63">
        <f t="shared" si="1"/>
        <v>3.2447999999999997</v>
      </c>
      <c r="P46" s="36"/>
    </row>
    <row r="47" spans="1:16" ht="36.75" thickBot="1" x14ac:dyDescent="0.3">
      <c r="A47" s="1"/>
      <c r="B47" s="50">
        <f t="shared" si="0"/>
        <v>38</v>
      </c>
      <c r="C47" s="58" t="s">
        <v>474</v>
      </c>
      <c r="D47" s="38" t="s">
        <v>43</v>
      </c>
      <c r="E47" s="39" t="s">
        <v>154</v>
      </c>
      <c r="F47" s="38" t="s">
        <v>467</v>
      </c>
      <c r="G47" s="39" t="s">
        <v>247</v>
      </c>
      <c r="H47" s="38" t="s">
        <v>480</v>
      </c>
      <c r="I47" s="38" t="s">
        <v>375</v>
      </c>
      <c r="J47" s="38" t="s">
        <v>480</v>
      </c>
      <c r="K47" s="39">
        <v>1</v>
      </c>
      <c r="L47" s="38">
        <v>20</v>
      </c>
      <c r="M47" s="64" t="s">
        <v>514</v>
      </c>
      <c r="N47" s="65">
        <v>0.1515</v>
      </c>
      <c r="O47" s="65">
        <f t="shared" si="1"/>
        <v>3.03</v>
      </c>
      <c r="P47" s="38"/>
    </row>
    <row r="48" spans="1:16" ht="24.75" thickBot="1" x14ac:dyDescent="0.3">
      <c r="A48" s="1"/>
      <c r="B48" s="50">
        <f>ROW(B48) - ROW($B$9)</f>
        <v>39</v>
      </c>
      <c r="C48" s="57" t="s">
        <v>475</v>
      </c>
      <c r="D48" s="36" t="s">
        <v>44</v>
      </c>
      <c r="E48" s="37" t="s">
        <v>155</v>
      </c>
      <c r="F48" s="36" t="s">
        <v>467</v>
      </c>
      <c r="G48" s="37" t="s">
        <v>248</v>
      </c>
      <c r="H48" s="36" t="s">
        <v>480</v>
      </c>
      <c r="I48" s="36" t="s">
        <v>376</v>
      </c>
      <c r="J48" s="36" t="s">
        <v>422</v>
      </c>
      <c r="K48" s="37">
        <v>2</v>
      </c>
      <c r="L48" s="36">
        <v>30</v>
      </c>
      <c r="M48" s="62" t="s">
        <v>514</v>
      </c>
      <c r="N48" s="63">
        <v>0.16090000000000002</v>
      </c>
      <c r="O48" s="63">
        <f t="shared" si="1"/>
        <v>4.8270000000000008</v>
      </c>
      <c r="P48" s="36"/>
    </row>
    <row r="49" spans="1:16" ht="36.75" thickBot="1" x14ac:dyDescent="0.3">
      <c r="A49" s="1"/>
      <c r="B49" s="50">
        <f t="shared" si="0"/>
        <v>40</v>
      </c>
      <c r="C49" s="58" t="s">
        <v>475</v>
      </c>
      <c r="D49" s="38" t="s">
        <v>45</v>
      </c>
      <c r="E49" s="39" t="s">
        <v>156</v>
      </c>
      <c r="F49" s="38" t="s">
        <v>467</v>
      </c>
      <c r="G49" s="39" t="s">
        <v>249</v>
      </c>
      <c r="H49" s="38" t="s">
        <v>480</v>
      </c>
      <c r="I49" s="38" t="s">
        <v>377</v>
      </c>
      <c r="J49" s="38" t="s">
        <v>423</v>
      </c>
      <c r="K49" s="39">
        <v>1</v>
      </c>
      <c r="L49" s="38">
        <v>12</v>
      </c>
      <c r="M49" s="64" t="s">
        <v>514</v>
      </c>
      <c r="N49" s="65">
        <v>0.24030000000000001</v>
      </c>
      <c r="O49" s="65">
        <f t="shared" si="1"/>
        <v>2.8836000000000004</v>
      </c>
      <c r="P49" s="38"/>
    </row>
    <row r="50" spans="1:16" ht="24.75" thickBot="1" x14ac:dyDescent="0.3">
      <c r="A50" s="1"/>
      <c r="B50" s="50">
        <f>ROW(B50) - ROW($B$9)</f>
        <v>41</v>
      </c>
      <c r="C50" s="57" t="s">
        <v>475</v>
      </c>
      <c r="D50" s="36" t="s">
        <v>46</v>
      </c>
      <c r="E50" s="37" t="s">
        <v>157</v>
      </c>
      <c r="F50" s="36" t="s">
        <v>467</v>
      </c>
      <c r="G50" s="37" t="s">
        <v>250</v>
      </c>
      <c r="H50" s="36" t="s">
        <v>480</v>
      </c>
      <c r="I50" s="36" t="s">
        <v>378</v>
      </c>
      <c r="J50" s="36" t="s">
        <v>424</v>
      </c>
      <c r="K50" s="37">
        <v>2</v>
      </c>
      <c r="L50" s="36">
        <v>30</v>
      </c>
      <c r="M50" s="62" t="s">
        <v>514</v>
      </c>
      <c r="N50" s="63">
        <v>0.14380000000000001</v>
      </c>
      <c r="O50" s="63">
        <f t="shared" si="1"/>
        <v>4.3140000000000001</v>
      </c>
      <c r="P50" s="36"/>
    </row>
    <row r="51" spans="1:16" ht="36.75" thickBot="1" x14ac:dyDescent="0.3">
      <c r="A51" s="1"/>
      <c r="B51" s="50">
        <f t="shared" si="0"/>
        <v>42</v>
      </c>
      <c r="C51" s="58" t="s">
        <v>475</v>
      </c>
      <c r="D51" s="38" t="s">
        <v>47</v>
      </c>
      <c r="E51" s="39" t="s">
        <v>158</v>
      </c>
      <c r="F51" s="38" t="s">
        <v>467</v>
      </c>
      <c r="G51" s="39" t="s">
        <v>251</v>
      </c>
      <c r="H51" s="38" t="s">
        <v>480</v>
      </c>
      <c r="I51" s="38" t="s">
        <v>379</v>
      </c>
      <c r="J51" s="38" t="s">
        <v>425</v>
      </c>
      <c r="K51" s="39">
        <v>2</v>
      </c>
      <c r="L51" s="38">
        <v>22</v>
      </c>
      <c r="M51" s="64" t="s">
        <v>514</v>
      </c>
      <c r="N51" s="65">
        <v>0.23650000000000002</v>
      </c>
      <c r="O51" s="65">
        <f t="shared" si="1"/>
        <v>5.2030000000000003</v>
      </c>
      <c r="P51" s="38"/>
    </row>
    <row r="52" spans="1:16" ht="36.75" thickBot="1" x14ac:dyDescent="0.3">
      <c r="A52" s="1"/>
      <c r="B52" s="50">
        <f>ROW(B52) - ROW($B$9)</f>
        <v>43</v>
      </c>
      <c r="C52" s="57" t="s">
        <v>475</v>
      </c>
      <c r="D52" s="36" t="s">
        <v>48</v>
      </c>
      <c r="E52" s="37" t="s">
        <v>159</v>
      </c>
      <c r="F52" s="36" t="s">
        <v>467</v>
      </c>
      <c r="G52" s="37" t="s">
        <v>252</v>
      </c>
      <c r="H52" s="36" t="s">
        <v>480</v>
      </c>
      <c r="I52" s="36" t="s">
        <v>378</v>
      </c>
      <c r="J52" s="36" t="s">
        <v>423</v>
      </c>
      <c r="K52" s="37">
        <v>2</v>
      </c>
      <c r="L52" s="36">
        <v>22</v>
      </c>
      <c r="M52" s="62" t="s">
        <v>514</v>
      </c>
      <c r="N52" s="63">
        <v>0.248</v>
      </c>
      <c r="O52" s="63">
        <f t="shared" si="1"/>
        <v>5.4559999999999995</v>
      </c>
      <c r="P52" s="36"/>
    </row>
    <row r="53" spans="1:16" ht="36.75" thickBot="1" x14ac:dyDescent="0.3">
      <c r="A53" s="1"/>
      <c r="B53" s="50">
        <f t="shared" si="0"/>
        <v>44</v>
      </c>
      <c r="C53" s="58" t="s">
        <v>475</v>
      </c>
      <c r="D53" s="38" t="s">
        <v>49</v>
      </c>
      <c r="E53" s="39" t="s">
        <v>160</v>
      </c>
      <c r="F53" s="38" t="s">
        <v>467</v>
      </c>
      <c r="G53" s="39" t="s">
        <v>253</v>
      </c>
      <c r="H53" s="38" t="s">
        <v>480</v>
      </c>
      <c r="I53" s="38" t="s">
        <v>380</v>
      </c>
      <c r="J53" s="38" t="s">
        <v>480</v>
      </c>
      <c r="K53" s="39">
        <v>1</v>
      </c>
      <c r="L53" s="38">
        <v>20</v>
      </c>
      <c r="M53" s="64" t="s">
        <v>514</v>
      </c>
      <c r="N53" s="65">
        <v>0.1706</v>
      </c>
      <c r="O53" s="65">
        <f t="shared" si="1"/>
        <v>3.4119999999999999</v>
      </c>
      <c r="P53" s="38"/>
    </row>
    <row r="54" spans="1:16" ht="36.75" thickBot="1" x14ac:dyDescent="0.3">
      <c r="A54" s="1"/>
      <c r="B54" s="50">
        <f>ROW(B54) - ROW($B$9)</f>
        <v>45</v>
      </c>
      <c r="C54" s="57" t="s">
        <v>472</v>
      </c>
      <c r="D54" s="36" t="s">
        <v>50</v>
      </c>
      <c r="E54" s="37" t="s">
        <v>161</v>
      </c>
      <c r="F54" s="36" t="s">
        <v>254</v>
      </c>
      <c r="G54" s="37" t="s">
        <v>307</v>
      </c>
      <c r="H54" s="36" t="s">
        <v>480</v>
      </c>
      <c r="I54" s="36" t="s">
        <v>359</v>
      </c>
      <c r="J54" s="36" t="s">
        <v>480</v>
      </c>
      <c r="K54" s="37">
        <v>1</v>
      </c>
      <c r="L54" s="36">
        <v>100</v>
      </c>
      <c r="M54" s="62" t="s">
        <v>514</v>
      </c>
      <c r="N54" s="63">
        <v>0.10310000000000001</v>
      </c>
      <c r="O54" s="63">
        <f t="shared" si="1"/>
        <v>10.31</v>
      </c>
      <c r="P54" s="36"/>
    </row>
    <row r="55" spans="1:16" ht="15.75" thickBot="1" x14ac:dyDescent="0.3">
      <c r="A55" s="1"/>
      <c r="B55" s="50">
        <f t="shared" si="0"/>
        <v>46</v>
      </c>
      <c r="C55" s="58" t="s">
        <v>475</v>
      </c>
      <c r="D55" s="38" t="s">
        <v>51</v>
      </c>
      <c r="E55" s="39" t="s">
        <v>162</v>
      </c>
      <c r="F55" s="38" t="s">
        <v>467</v>
      </c>
      <c r="G55" s="39" t="s">
        <v>255</v>
      </c>
      <c r="H55" s="38" t="s">
        <v>480</v>
      </c>
      <c r="I55" s="38" t="s">
        <v>380</v>
      </c>
      <c r="J55" s="38" t="s">
        <v>426</v>
      </c>
      <c r="K55" s="39">
        <v>1</v>
      </c>
      <c r="L55" s="38">
        <v>20</v>
      </c>
      <c r="M55" s="64" t="s">
        <v>514</v>
      </c>
      <c r="N55" s="65">
        <v>0.15620000000000001</v>
      </c>
      <c r="O55" s="65">
        <f t="shared" si="1"/>
        <v>3.1240000000000001</v>
      </c>
      <c r="P55" s="38"/>
    </row>
    <row r="56" spans="1:16" ht="15.75" thickBot="1" x14ac:dyDescent="0.3">
      <c r="A56" s="1"/>
      <c r="B56" s="50">
        <f>ROW(B56) - ROW($B$9)</f>
        <v>47</v>
      </c>
      <c r="C56" s="57" t="s">
        <v>476</v>
      </c>
      <c r="D56" s="36" t="s">
        <v>52</v>
      </c>
      <c r="E56" s="37" t="s">
        <v>163</v>
      </c>
      <c r="F56" s="36" t="s">
        <v>256</v>
      </c>
      <c r="G56" s="59" t="s">
        <v>477</v>
      </c>
      <c r="H56" s="36" t="s">
        <v>497</v>
      </c>
      <c r="I56" s="36" t="s">
        <v>381</v>
      </c>
      <c r="J56" s="36" t="s">
        <v>480</v>
      </c>
      <c r="K56" s="37">
        <v>1</v>
      </c>
      <c r="L56" s="36">
        <v>50</v>
      </c>
      <c r="M56" s="62" t="s">
        <v>514</v>
      </c>
      <c r="N56" s="63">
        <v>0.1163</v>
      </c>
      <c r="O56" s="63">
        <f t="shared" si="1"/>
        <v>5.8150000000000004</v>
      </c>
      <c r="P56" s="36"/>
    </row>
    <row r="57" spans="1:16" ht="15.75" thickBot="1" x14ac:dyDescent="0.3">
      <c r="A57" s="1"/>
      <c r="B57" s="50">
        <f t="shared" si="0"/>
        <v>48</v>
      </c>
      <c r="C57" s="58" t="s">
        <v>478</v>
      </c>
      <c r="D57" s="38" t="s">
        <v>53</v>
      </c>
      <c r="E57" s="39" t="s">
        <v>164</v>
      </c>
      <c r="F57" s="38" t="s">
        <v>256</v>
      </c>
      <c r="G57" s="60" t="s">
        <v>308</v>
      </c>
      <c r="H57" s="38" t="s">
        <v>498</v>
      </c>
      <c r="I57" s="38" t="s">
        <v>381</v>
      </c>
      <c r="J57" s="38" t="s">
        <v>480</v>
      </c>
      <c r="K57" s="39">
        <v>1</v>
      </c>
      <c r="L57" s="38">
        <v>20</v>
      </c>
      <c r="M57" s="64" t="s">
        <v>514</v>
      </c>
      <c r="N57" s="65">
        <v>0.13540000000000002</v>
      </c>
      <c r="O57" s="65">
        <f t="shared" si="1"/>
        <v>2.7080000000000002</v>
      </c>
      <c r="P57" s="38"/>
    </row>
    <row r="58" spans="1:16" ht="15.75" thickBot="1" x14ac:dyDescent="0.3">
      <c r="A58" s="1"/>
      <c r="B58" s="50">
        <f>ROW(B58) - ROW($B$9)</f>
        <v>49</v>
      </c>
      <c r="C58" s="57" t="s">
        <v>476</v>
      </c>
      <c r="D58" s="36" t="s">
        <v>54</v>
      </c>
      <c r="E58" s="37" t="s">
        <v>165</v>
      </c>
      <c r="F58" s="36" t="s">
        <v>256</v>
      </c>
      <c r="G58" s="59" t="s">
        <v>309</v>
      </c>
      <c r="H58" s="36" t="s">
        <v>499</v>
      </c>
      <c r="I58" s="36" t="s">
        <v>381</v>
      </c>
      <c r="J58" s="36" t="s">
        <v>480</v>
      </c>
      <c r="K58" s="37">
        <v>1</v>
      </c>
      <c r="L58" s="36">
        <v>20</v>
      </c>
      <c r="M58" s="62" t="s">
        <v>514</v>
      </c>
      <c r="N58" s="63">
        <v>0.13520000000000001</v>
      </c>
      <c r="O58" s="63">
        <f t="shared" si="1"/>
        <v>2.7040000000000002</v>
      </c>
      <c r="P58" s="36"/>
    </row>
    <row r="59" spans="1:16" ht="15.75" thickBot="1" x14ac:dyDescent="0.3">
      <c r="A59" s="1"/>
      <c r="B59" s="50">
        <f t="shared" si="0"/>
        <v>50</v>
      </c>
      <c r="C59" s="58" t="s">
        <v>478</v>
      </c>
      <c r="D59" s="38" t="s">
        <v>55</v>
      </c>
      <c r="E59" s="39" t="s">
        <v>166</v>
      </c>
      <c r="F59" s="38" t="s">
        <v>256</v>
      </c>
      <c r="G59" s="60" t="s">
        <v>310</v>
      </c>
      <c r="H59" s="38" t="s">
        <v>500</v>
      </c>
      <c r="I59" s="38" t="s">
        <v>381</v>
      </c>
      <c r="J59" s="38" t="s">
        <v>480</v>
      </c>
      <c r="K59" s="39">
        <v>1</v>
      </c>
      <c r="L59" s="38">
        <v>50</v>
      </c>
      <c r="M59" s="64"/>
      <c r="N59" s="65">
        <v>0.1159</v>
      </c>
      <c r="O59" s="65">
        <f t="shared" si="1"/>
        <v>5.7949999999999999</v>
      </c>
      <c r="P59" s="38"/>
    </row>
    <row r="60" spans="1:16" ht="36.75" thickBot="1" x14ac:dyDescent="0.3">
      <c r="A60" s="1"/>
      <c r="B60" s="50">
        <f>ROW(B60) - ROW($B$9)</f>
        <v>51</v>
      </c>
      <c r="C60" s="57" t="s">
        <v>479</v>
      </c>
      <c r="D60" s="36" t="s">
        <v>56</v>
      </c>
      <c r="E60" s="37" t="s">
        <v>167</v>
      </c>
      <c r="F60" s="36" t="s">
        <v>257</v>
      </c>
      <c r="G60" s="37" t="s">
        <v>480</v>
      </c>
      <c r="H60" s="36" t="s">
        <v>480</v>
      </c>
      <c r="I60" s="36" t="s">
        <v>480</v>
      </c>
      <c r="J60" s="36" t="s">
        <v>480</v>
      </c>
      <c r="K60" s="37">
        <v>28</v>
      </c>
      <c r="L60" s="36" t="s">
        <v>480</v>
      </c>
      <c r="M60" s="62" t="s">
        <v>480</v>
      </c>
      <c r="N60" s="63">
        <v>0</v>
      </c>
      <c r="O60" s="63" t="s">
        <v>480</v>
      </c>
      <c r="P60" s="36"/>
    </row>
    <row r="61" spans="1:16" ht="15.75" thickBot="1" x14ac:dyDescent="0.3">
      <c r="A61" s="1"/>
      <c r="B61" s="50">
        <f t="shared" si="0"/>
        <v>52</v>
      </c>
      <c r="C61" s="58" t="s">
        <v>474</v>
      </c>
      <c r="D61" s="38" t="s">
        <v>57</v>
      </c>
      <c r="E61" s="39" t="s">
        <v>168</v>
      </c>
      <c r="F61" s="38" t="s">
        <v>258</v>
      </c>
      <c r="G61" s="60">
        <v>61300211121</v>
      </c>
      <c r="H61" s="38" t="s">
        <v>501</v>
      </c>
      <c r="I61" s="38" t="s">
        <v>368</v>
      </c>
      <c r="J61" s="38" t="s">
        <v>480</v>
      </c>
      <c r="K61" s="39">
        <v>10</v>
      </c>
      <c r="L61" s="38">
        <v>150</v>
      </c>
      <c r="M61" s="64" t="s">
        <v>514</v>
      </c>
      <c r="N61" s="65">
        <v>0.11360000000000001</v>
      </c>
      <c r="O61" s="65">
        <f t="shared" si="1"/>
        <v>17.040000000000003</v>
      </c>
      <c r="P61" s="38"/>
    </row>
    <row r="62" spans="1:16" ht="15.75" thickBot="1" x14ac:dyDescent="0.3">
      <c r="A62" s="1"/>
      <c r="B62" s="50">
        <f>ROW(B62) - ROW($B$9)</f>
        <v>53</v>
      </c>
      <c r="C62" s="57" t="s">
        <v>474</v>
      </c>
      <c r="D62" s="36" t="s">
        <v>58</v>
      </c>
      <c r="E62" s="37" t="s">
        <v>169</v>
      </c>
      <c r="F62" s="36" t="s">
        <v>259</v>
      </c>
      <c r="G62" s="59">
        <v>61300611121</v>
      </c>
      <c r="H62" s="36" t="s">
        <v>502</v>
      </c>
      <c r="I62" s="36" t="s">
        <v>368</v>
      </c>
      <c r="J62" s="36" t="s">
        <v>480</v>
      </c>
      <c r="K62" s="37">
        <v>1</v>
      </c>
      <c r="L62" s="36">
        <v>20</v>
      </c>
      <c r="M62" s="62" t="s">
        <v>514</v>
      </c>
      <c r="N62" s="63">
        <v>0.13150000000000001</v>
      </c>
      <c r="O62" s="63">
        <f t="shared" si="1"/>
        <v>2.63</v>
      </c>
      <c r="P62" s="36"/>
    </row>
    <row r="63" spans="1:16" ht="15.75" thickBot="1" x14ac:dyDescent="0.3">
      <c r="A63" s="1"/>
      <c r="B63" s="50">
        <f t="shared" si="0"/>
        <v>54</v>
      </c>
      <c r="C63" s="58" t="s">
        <v>474</v>
      </c>
      <c r="D63" s="38" t="s">
        <v>59</v>
      </c>
      <c r="E63" s="39" t="s">
        <v>170</v>
      </c>
      <c r="F63" s="38" t="s">
        <v>260</v>
      </c>
      <c r="G63" s="60">
        <v>61300311121</v>
      </c>
      <c r="H63" s="38" t="s">
        <v>503</v>
      </c>
      <c r="I63" s="38" t="s">
        <v>368</v>
      </c>
      <c r="J63" s="38" t="s">
        <v>480</v>
      </c>
      <c r="K63" s="39">
        <v>1</v>
      </c>
      <c r="L63" s="38">
        <v>50</v>
      </c>
      <c r="M63" s="64" t="s">
        <v>514</v>
      </c>
      <c r="N63" s="65">
        <v>0.11650000000000001</v>
      </c>
      <c r="O63" s="65">
        <f t="shared" si="1"/>
        <v>5.8250000000000002</v>
      </c>
      <c r="P63" s="38"/>
    </row>
    <row r="64" spans="1:16" ht="24.75" thickBot="1" x14ac:dyDescent="0.3">
      <c r="A64" s="1"/>
      <c r="B64" s="50">
        <f>ROW(B64) - ROW($B$9)</f>
        <v>55</v>
      </c>
      <c r="C64" s="57" t="s">
        <v>481</v>
      </c>
      <c r="D64" s="36" t="s">
        <v>60</v>
      </c>
      <c r="E64" s="37" t="s">
        <v>171</v>
      </c>
      <c r="F64" s="36" t="s">
        <v>261</v>
      </c>
      <c r="G64" s="37" t="s">
        <v>311</v>
      </c>
      <c r="H64" s="36" t="s">
        <v>480</v>
      </c>
      <c r="I64" s="36" t="s">
        <v>382</v>
      </c>
      <c r="J64" s="36" t="s">
        <v>480</v>
      </c>
      <c r="K64" s="37">
        <v>1</v>
      </c>
      <c r="L64" s="36">
        <v>20</v>
      </c>
      <c r="M64" s="62" t="s">
        <v>514</v>
      </c>
      <c r="N64" s="63">
        <v>0.13670000000000002</v>
      </c>
      <c r="O64" s="63">
        <f t="shared" si="1"/>
        <v>2.7340000000000004</v>
      </c>
      <c r="P64" s="36"/>
    </row>
    <row r="65" spans="1:16" ht="24.75" thickBot="1" x14ac:dyDescent="0.3">
      <c r="A65" s="1"/>
      <c r="B65" s="50">
        <f t="shared" si="0"/>
        <v>56</v>
      </c>
      <c r="C65" s="58" t="s">
        <v>481</v>
      </c>
      <c r="D65" s="38" t="s">
        <v>61</v>
      </c>
      <c r="E65" s="39" t="s">
        <v>172</v>
      </c>
      <c r="F65" s="38" t="s">
        <v>261</v>
      </c>
      <c r="G65" s="39" t="s">
        <v>312</v>
      </c>
      <c r="H65" s="38" t="s">
        <v>480</v>
      </c>
      <c r="I65" s="38" t="s">
        <v>383</v>
      </c>
      <c r="J65" s="38" t="s">
        <v>480</v>
      </c>
      <c r="K65" s="39">
        <v>5</v>
      </c>
      <c r="L65" s="38">
        <v>60</v>
      </c>
      <c r="M65" s="64" t="s">
        <v>514</v>
      </c>
      <c r="N65" s="65">
        <v>0.12050000000000001</v>
      </c>
      <c r="O65" s="65">
        <f t="shared" si="1"/>
        <v>7.23</v>
      </c>
      <c r="P65" s="38"/>
    </row>
    <row r="66" spans="1:16" ht="36.75" thickBot="1" x14ac:dyDescent="0.3">
      <c r="A66" s="1"/>
      <c r="B66" s="50">
        <f>ROW(B66) - ROW($B$9)</f>
        <v>57</v>
      </c>
      <c r="C66" s="57" t="s">
        <v>481</v>
      </c>
      <c r="D66" s="36" t="s">
        <v>62</v>
      </c>
      <c r="E66" s="37" t="s">
        <v>173</v>
      </c>
      <c r="F66" s="36" t="s">
        <v>261</v>
      </c>
      <c r="G66" s="37" t="s">
        <v>313</v>
      </c>
      <c r="H66" s="36" t="s">
        <v>480</v>
      </c>
      <c r="I66" s="36" t="s">
        <v>362</v>
      </c>
      <c r="J66" s="36" t="s">
        <v>480</v>
      </c>
      <c r="K66" s="37">
        <v>3</v>
      </c>
      <c r="L66" s="36">
        <v>40</v>
      </c>
      <c r="M66" s="62" t="s">
        <v>514</v>
      </c>
      <c r="N66" s="63">
        <v>0.13140000000000002</v>
      </c>
      <c r="O66" s="63">
        <f t="shared" si="1"/>
        <v>5.2560000000000002</v>
      </c>
      <c r="P66" s="36"/>
    </row>
    <row r="67" spans="1:16" ht="36.75" thickBot="1" x14ac:dyDescent="0.3">
      <c r="A67" s="1"/>
      <c r="B67" s="50">
        <f t="shared" si="0"/>
        <v>58</v>
      </c>
      <c r="C67" s="58" t="s">
        <v>481</v>
      </c>
      <c r="D67" s="38" t="s">
        <v>63</v>
      </c>
      <c r="E67" s="39" t="s">
        <v>174</v>
      </c>
      <c r="F67" s="38" t="s">
        <v>262</v>
      </c>
      <c r="G67" s="39" t="s">
        <v>262</v>
      </c>
      <c r="H67" s="38" t="s">
        <v>480</v>
      </c>
      <c r="I67" s="38" t="s">
        <v>384</v>
      </c>
      <c r="J67" s="38" t="s">
        <v>480</v>
      </c>
      <c r="K67" s="39">
        <v>1</v>
      </c>
      <c r="L67" s="38">
        <v>20</v>
      </c>
      <c r="M67" s="64" t="s">
        <v>514</v>
      </c>
      <c r="N67" s="65">
        <v>0.14960000000000001</v>
      </c>
      <c r="O67" s="65">
        <f t="shared" si="1"/>
        <v>2.992</v>
      </c>
      <c r="P67" s="38"/>
    </row>
    <row r="68" spans="1:16" ht="60.75" thickBot="1" x14ac:dyDescent="0.3">
      <c r="A68" s="1"/>
      <c r="B68" s="50">
        <f>ROW(B68) - ROW($B$9)</f>
        <v>59</v>
      </c>
      <c r="C68" s="57" t="s">
        <v>482</v>
      </c>
      <c r="D68" s="36" t="s">
        <v>64</v>
      </c>
      <c r="E68" s="37" t="s">
        <v>175</v>
      </c>
      <c r="F68" s="36" t="s">
        <v>263</v>
      </c>
      <c r="G68" s="37" t="s">
        <v>314</v>
      </c>
      <c r="H68" s="36" t="s">
        <v>480</v>
      </c>
      <c r="I68" s="36" t="s">
        <v>356</v>
      </c>
      <c r="J68" s="36" t="s">
        <v>427</v>
      </c>
      <c r="K68" s="37">
        <v>37</v>
      </c>
      <c r="L68" s="36">
        <v>400</v>
      </c>
      <c r="M68" s="62" t="s">
        <v>514</v>
      </c>
      <c r="N68" s="63">
        <v>0.1017</v>
      </c>
      <c r="O68" s="63">
        <f t="shared" si="1"/>
        <v>40.68</v>
      </c>
      <c r="P68" s="36"/>
    </row>
    <row r="69" spans="1:16" ht="15.75" thickBot="1" x14ac:dyDescent="0.3">
      <c r="A69" s="1"/>
      <c r="B69" s="50">
        <f t="shared" si="0"/>
        <v>60</v>
      </c>
      <c r="C69" s="58" t="s">
        <v>482</v>
      </c>
      <c r="D69" s="38" t="s">
        <v>66</v>
      </c>
      <c r="E69" s="39" t="s">
        <v>177</v>
      </c>
      <c r="F69" s="38" t="s">
        <v>263</v>
      </c>
      <c r="G69" s="39" t="s">
        <v>316</v>
      </c>
      <c r="H69" s="38" t="s">
        <v>480</v>
      </c>
      <c r="I69" s="38" t="s">
        <v>356</v>
      </c>
      <c r="J69" s="38" t="s">
        <v>429</v>
      </c>
      <c r="K69" s="39">
        <v>6</v>
      </c>
      <c r="L69" s="38">
        <v>80</v>
      </c>
      <c r="M69" s="64" t="s">
        <v>514</v>
      </c>
      <c r="N69" s="65">
        <v>0.13270000000000001</v>
      </c>
      <c r="O69" s="65">
        <f t="shared" si="1"/>
        <v>10.616000000000001</v>
      </c>
      <c r="P69" s="38"/>
    </row>
    <row r="70" spans="1:16" ht="15.75" thickBot="1" x14ac:dyDescent="0.3">
      <c r="A70" s="1"/>
      <c r="B70" s="50">
        <f>ROW(B70) - ROW($B$9)</f>
        <v>61</v>
      </c>
      <c r="C70" s="57" t="s">
        <v>482</v>
      </c>
      <c r="D70" s="36" t="s">
        <v>67</v>
      </c>
      <c r="E70" s="37" t="s">
        <v>178</v>
      </c>
      <c r="F70" s="36" t="s">
        <v>263</v>
      </c>
      <c r="G70" s="37" t="s">
        <v>317</v>
      </c>
      <c r="H70" s="36" t="s">
        <v>480</v>
      </c>
      <c r="I70" s="36" t="s">
        <v>356</v>
      </c>
      <c r="J70" s="36" t="s">
        <v>430</v>
      </c>
      <c r="K70" s="37">
        <v>3</v>
      </c>
      <c r="L70" s="36">
        <v>50</v>
      </c>
      <c r="M70" s="62" t="s">
        <v>514</v>
      </c>
      <c r="N70" s="63">
        <v>0.11330000000000001</v>
      </c>
      <c r="O70" s="63">
        <f t="shared" si="1"/>
        <v>5.6650000000000009</v>
      </c>
      <c r="P70" s="36"/>
    </row>
    <row r="71" spans="1:16" ht="24.75" thickBot="1" x14ac:dyDescent="0.3">
      <c r="A71" s="1"/>
      <c r="B71" s="50">
        <f t="shared" si="0"/>
        <v>62</v>
      </c>
      <c r="C71" s="58" t="s">
        <v>482</v>
      </c>
      <c r="D71" s="38" t="s">
        <v>68</v>
      </c>
      <c r="E71" s="39" t="s">
        <v>179</v>
      </c>
      <c r="F71" s="38" t="s">
        <v>263</v>
      </c>
      <c r="G71" s="39" t="s">
        <v>318</v>
      </c>
      <c r="H71" s="38" t="s">
        <v>480</v>
      </c>
      <c r="I71" s="38" t="s">
        <v>386</v>
      </c>
      <c r="J71" s="38" t="s">
        <v>431</v>
      </c>
      <c r="K71" s="39">
        <v>1</v>
      </c>
      <c r="L71" s="38">
        <v>20</v>
      </c>
      <c r="M71" s="64" t="s">
        <v>514</v>
      </c>
      <c r="N71" s="65">
        <v>0.12590000000000001</v>
      </c>
      <c r="O71" s="65">
        <f t="shared" si="1"/>
        <v>2.5180000000000002</v>
      </c>
      <c r="P71" s="38"/>
    </row>
    <row r="72" spans="1:16" ht="24.75" thickBot="1" x14ac:dyDescent="0.3">
      <c r="A72" s="1"/>
      <c r="B72" s="50">
        <f>ROW(B72) - ROW($B$9)</f>
        <v>63</v>
      </c>
      <c r="C72" s="57" t="s">
        <v>482</v>
      </c>
      <c r="D72" s="36" t="s">
        <v>69</v>
      </c>
      <c r="E72" s="37" t="s">
        <v>180</v>
      </c>
      <c r="F72" s="36" t="s">
        <v>263</v>
      </c>
      <c r="G72" s="37" t="s">
        <v>319</v>
      </c>
      <c r="H72" s="36" t="s">
        <v>480</v>
      </c>
      <c r="I72" s="36" t="s">
        <v>387</v>
      </c>
      <c r="J72" s="36" t="s">
        <v>432</v>
      </c>
      <c r="K72" s="37">
        <v>1</v>
      </c>
      <c r="L72" s="36">
        <v>20</v>
      </c>
      <c r="M72" s="62" t="s">
        <v>514</v>
      </c>
      <c r="N72" s="63">
        <v>0.12859999999999999</v>
      </c>
      <c r="O72" s="63">
        <f t="shared" si="1"/>
        <v>2.5720000000000001</v>
      </c>
      <c r="P72" s="36"/>
    </row>
    <row r="73" spans="1:16" ht="15.75" thickBot="1" x14ac:dyDescent="0.3">
      <c r="A73" s="1"/>
      <c r="B73" s="50">
        <f t="shared" si="0"/>
        <v>64</v>
      </c>
      <c r="C73" s="58" t="s">
        <v>482</v>
      </c>
      <c r="D73" s="38" t="s">
        <v>70</v>
      </c>
      <c r="E73" s="39" t="s">
        <v>181</v>
      </c>
      <c r="F73" s="38" t="s">
        <v>263</v>
      </c>
      <c r="G73" s="39" t="s">
        <v>320</v>
      </c>
      <c r="H73" s="38" t="s">
        <v>480</v>
      </c>
      <c r="I73" s="38" t="s">
        <v>356</v>
      </c>
      <c r="J73" s="38" t="s">
        <v>433</v>
      </c>
      <c r="K73" s="39">
        <v>1</v>
      </c>
      <c r="L73" s="38">
        <v>100</v>
      </c>
      <c r="M73" s="64" t="s">
        <v>514</v>
      </c>
      <c r="N73" s="65">
        <v>0.1014</v>
      </c>
      <c r="O73" s="65">
        <f t="shared" si="1"/>
        <v>10.14</v>
      </c>
      <c r="P73" s="38"/>
    </row>
    <row r="74" spans="1:16" ht="15.75" thickBot="1" x14ac:dyDescent="0.3">
      <c r="A74" s="1"/>
      <c r="B74" s="50">
        <f>ROW(B74) - ROW($B$9)</f>
        <v>65</v>
      </c>
      <c r="C74" s="57" t="s">
        <v>482</v>
      </c>
      <c r="D74" s="36" t="s">
        <v>71</v>
      </c>
      <c r="E74" s="37" t="s">
        <v>182</v>
      </c>
      <c r="F74" s="36" t="s">
        <v>263</v>
      </c>
      <c r="G74" s="37" t="s">
        <v>483</v>
      </c>
      <c r="H74" s="36" t="s">
        <v>480</v>
      </c>
      <c r="I74" s="36" t="s">
        <v>356</v>
      </c>
      <c r="J74" s="36" t="s">
        <v>434</v>
      </c>
      <c r="K74" s="37">
        <v>1</v>
      </c>
      <c r="L74" s="36">
        <v>100</v>
      </c>
      <c r="M74" s="62" t="s">
        <v>514</v>
      </c>
      <c r="N74" s="63">
        <v>0.10120000000000001</v>
      </c>
      <c r="O74" s="63">
        <f t="shared" si="1"/>
        <v>10.120000000000001</v>
      </c>
      <c r="P74" s="36"/>
    </row>
    <row r="75" spans="1:16" ht="15.75" thickBot="1" x14ac:dyDescent="0.3">
      <c r="A75" s="1"/>
      <c r="B75" s="50">
        <f t="shared" si="0"/>
        <v>66</v>
      </c>
      <c r="C75" s="58" t="s">
        <v>482</v>
      </c>
      <c r="D75" s="38" t="s">
        <v>72</v>
      </c>
      <c r="E75" s="39" t="s">
        <v>183</v>
      </c>
      <c r="F75" s="38" t="s">
        <v>263</v>
      </c>
      <c r="G75" s="61" t="s">
        <v>321</v>
      </c>
      <c r="H75" s="38" t="s">
        <v>504</v>
      </c>
      <c r="I75" s="38" t="s">
        <v>356</v>
      </c>
      <c r="J75" s="38" t="s">
        <v>435</v>
      </c>
      <c r="K75" s="39">
        <v>1</v>
      </c>
      <c r="L75" s="38">
        <v>100</v>
      </c>
      <c r="M75" s="64" t="s">
        <v>514</v>
      </c>
      <c r="N75" s="65">
        <v>0.10110000000000001</v>
      </c>
      <c r="O75" s="65">
        <f t="shared" ref="O75:O119" si="2">N75*L75</f>
        <v>10.110000000000001</v>
      </c>
      <c r="P75" s="38"/>
    </row>
    <row r="76" spans="1:16" ht="15.75" thickBot="1" x14ac:dyDescent="0.3">
      <c r="A76" s="1"/>
      <c r="B76" s="50">
        <f>ROW(B76) - ROW($B$9)</f>
        <v>67</v>
      </c>
      <c r="C76" s="57" t="s">
        <v>482</v>
      </c>
      <c r="D76" s="36" t="s">
        <v>73</v>
      </c>
      <c r="E76" s="37" t="s">
        <v>184</v>
      </c>
      <c r="F76" s="36" t="s">
        <v>263</v>
      </c>
      <c r="G76" s="37" t="s">
        <v>322</v>
      </c>
      <c r="H76" s="36" t="s">
        <v>480</v>
      </c>
      <c r="I76" s="36" t="s">
        <v>356</v>
      </c>
      <c r="J76" s="36" t="s">
        <v>436</v>
      </c>
      <c r="K76" s="37">
        <v>1</v>
      </c>
      <c r="L76" s="36">
        <v>20</v>
      </c>
      <c r="M76" s="62" t="s">
        <v>514</v>
      </c>
      <c r="N76" s="63">
        <v>0.12590000000000001</v>
      </c>
      <c r="O76" s="63">
        <f t="shared" si="2"/>
        <v>2.5180000000000002</v>
      </c>
      <c r="P76" s="36"/>
    </row>
    <row r="77" spans="1:16" ht="15.75" thickBot="1" x14ac:dyDescent="0.3">
      <c r="A77" s="1"/>
      <c r="B77" s="50">
        <f t="shared" si="0"/>
        <v>68</v>
      </c>
      <c r="C77" s="58" t="s">
        <v>482</v>
      </c>
      <c r="D77" s="38" t="s">
        <v>74</v>
      </c>
      <c r="E77" s="39" t="s">
        <v>185</v>
      </c>
      <c r="F77" s="38" t="s">
        <v>263</v>
      </c>
      <c r="G77" s="39" t="s">
        <v>323</v>
      </c>
      <c r="H77" s="38" t="s">
        <v>480</v>
      </c>
      <c r="I77" s="38" t="s">
        <v>356</v>
      </c>
      <c r="J77" s="38" t="s">
        <v>437</v>
      </c>
      <c r="K77" s="39">
        <v>6</v>
      </c>
      <c r="L77" s="38">
        <v>100</v>
      </c>
      <c r="M77" s="64" t="s">
        <v>514</v>
      </c>
      <c r="N77" s="65">
        <v>0.1013</v>
      </c>
      <c r="O77" s="65">
        <f t="shared" si="2"/>
        <v>10.130000000000001</v>
      </c>
      <c r="P77" s="38"/>
    </row>
    <row r="78" spans="1:16" ht="24.75" thickBot="1" x14ac:dyDescent="0.3">
      <c r="A78" s="1"/>
      <c r="B78" s="50">
        <f>ROW(B78) - ROW($B$9)</f>
        <v>69</v>
      </c>
      <c r="C78" s="57" t="s">
        <v>482</v>
      </c>
      <c r="D78" s="36" t="s">
        <v>75</v>
      </c>
      <c r="E78" s="37" t="s">
        <v>186</v>
      </c>
      <c r="F78" s="36" t="s">
        <v>263</v>
      </c>
      <c r="G78" s="37" t="s">
        <v>324</v>
      </c>
      <c r="H78" s="36" t="s">
        <v>480</v>
      </c>
      <c r="I78" s="36" t="s">
        <v>356</v>
      </c>
      <c r="J78" s="36" t="s">
        <v>438</v>
      </c>
      <c r="K78" s="37">
        <v>10</v>
      </c>
      <c r="L78" s="36">
        <v>200</v>
      </c>
      <c r="M78" s="62" t="s">
        <v>514</v>
      </c>
      <c r="N78" s="63">
        <v>0.10100000000000001</v>
      </c>
      <c r="O78" s="63">
        <f t="shared" si="2"/>
        <v>20.200000000000003</v>
      </c>
      <c r="P78" s="36"/>
    </row>
    <row r="79" spans="1:16" ht="15.75" thickBot="1" x14ac:dyDescent="0.3">
      <c r="A79" s="1"/>
      <c r="B79" s="50">
        <f t="shared" si="0"/>
        <v>70</v>
      </c>
      <c r="C79" s="58" t="s">
        <v>482</v>
      </c>
      <c r="D79" s="38" t="s">
        <v>76</v>
      </c>
      <c r="E79" s="39" t="s">
        <v>187</v>
      </c>
      <c r="F79" s="38" t="s">
        <v>263</v>
      </c>
      <c r="G79" s="39" t="s">
        <v>325</v>
      </c>
      <c r="H79" s="38" t="s">
        <v>480</v>
      </c>
      <c r="I79" s="38" t="s">
        <v>356</v>
      </c>
      <c r="J79" s="38" t="s">
        <v>439</v>
      </c>
      <c r="K79" s="39">
        <v>1</v>
      </c>
      <c r="L79" s="38">
        <v>100</v>
      </c>
      <c r="M79" s="64" t="s">
        <v>514</v>
      </c>
      <c r="N79" s="65">
        <v>0.10310000000000001</v>
      </c>
      <c r="O79" s="65">
        <f t="shared" si="2"/>
        <v>10.31</v>
      </c>
      <c r="P79" s="38"/>
    </row>
    <row r="80" spans="1:16" ht="36.75" thickBot="1" x14ac:dyDescent="0.3">
      <c r="A80" s="1"/>
      <c r="B80" s="50">
        <f>ROW(B80) - ROW($B$9)</f>
        <v>71</v>
      </c>
      <c r="C80" s="57" t="s">
        <v>482</v>
      </c>
      <c r="D80" s="36" t="s">
        <v>77</v>
      </c>
      <c r="E80" s="37" t="s">
        <v>188</v>
      </c>
      <c r="F80" s="36" t="s">
        <v>263</v>
      </c>
      <c r="G80" s="37" t="s">
        <v>326</v>
      </c>
      <c r="H80" s="36" t="s">
        <v>480</v>
      </c>
      <c r="I80" s="36" t="s">
        <v>356</v>
      </c>
      <c r="J80" s="36" t="s">
        <v>440</v>
      </c>
      <c r="K80" s="37">
        <v>3</v>
      </c>
      <c r="L80" s="36">
        <v>100</v>
      </c>
      <c r="M80" s="62" t="s">
        <v>514</v>
      </c>
      <c r="N80" s="63">
        <v>0.1009</v>
      </c>
      <c r="O80" s="63">
        <f t="shared" si="2"/>
        <v>10.09</v>
      </c>
      <c r="P80" s="36"/>
    </row>
    <row r="81" spans="1:16" ht="36.75" thickBot="1" x14ac:dyDescent="0.3">
      <c r="A81" s="1"/>
      <c r="B81" s="50">
        <f t="shared" si="0"/>
        <v>72</v>
      </c>
      <c r="C81" s="58" t="s">
        <v>482</v>
      </c>
      <c r="D81" s="38" t="s">
        <v>78</v>
      </c>
      <c r="E81" s="39" t="s">
        <v>189</v>
      </c>
      <c r="F81" s="38" t="s">
        <v>263</v>
      </c>
      <c r="G81" s="39" t="s">
        <v>327</v>
      </c>
      <c r="H81" s="38" t="s">
        <v>480</v>
      </c>
      <c r="I81" s="38" t="s">
        <v>388</v>
      </c>
      <c r="J81" s="38" t="s">
        <v>441</v>
      </c>
      <c r="K81" s="39">
        <v>1</v>
      </c>
      <c r="L81" s="38">
        <v>20</v>
      </c>
      <c r="M81" s="64" t="s">
        <v>514</v>
      </c>
      <c r="N81" s="65">
        <v>0.11940000000000001</v>
      </c>
      <c r="O81" s="65">
        <f t="shared" si="2"/>
        <v>2.3879999999999999</v>
      </c>
      <c r="P81" s="38"/>
    </row>
    <row r="82" spans="1:16" ht="36.75" thickBot="1" x14ac:dyDescent="0.3">
      <c r="A82" s="1"/>
      <c r="B82" s="50">
        <f>ROW(B82) - ROW($B$9)</f>
        <v>73</v>
      </c>
      <c r="C82" s="57" t="s">
        <v>482</v>
      </c>
      <c r="D82" s="36" t="s">
        <v>79</v>
      </c>
      <c r="E82" s="37" t="s">
        <v>190</v>
      </c>
      <c r="F82" s="36" t="s">
        <v>263</v>
      </c>
      <c r="G82" s="37" t="s">
        <v>328</v>
      </c>
      <c r="H82" s="36" t="s">
        <v>480</v>
      </c>
      <c r="I82" s="36" t="s">
        <v>356</v>
      </c>
      <c r="J82" s="36" t="s">
        <v>442</v>
      </c>
      <c r="K82" s="37">
        <v>1</v>
      </c>
      <c r="L82" s="36">
        <v>100</v>
      </c>
      <c r="M82" s="62" t="s">
        <v>514</v>
      </c>
      <c r="N82" s="63">
        <v>0.10200000000000001</v>
      </c>
      <c r="O82" s="63">
        <f t="shared" si="2"/>
        <v>10.200000000000001</v>
      </c>
      <c r="P82" s="36"/>
    </row>
    <row r="83" spans="1:16" ht="36.75" thickBot="1" x14ac:dyDescent="0.3">
      <c r="A83" s="1"/>
      <c r="B83" s="50">
        <f t="shared" si="0"/>
        <v>74</v>
      </c>
      <c r="C83" s="58" t="s">
        <v>482</v>
      </c>
      <c r="D83" s="38" t="s">
        <v>65</v>
      </c>
      <c r="E83" s="39" t="s">
        <v>176</v>
      </c>
      <c r="F83" s="38" t="s">
        <v>263</v>
      </c>
      <c r="G83" s="39" t="s">
        <v>315</v>
      </c>
      <c r="H83" s="38" t="s">
        <v>480</v>
      </c>
      <c r="I83" s="38" t="s">
        <v>385</v>
      </c>
      <c r="J83" s="38" t="s">
        <v>428</v>
      </c>
      <c r="K83" s="39">
        <v>10</v>
      </c>
      <c r="L83" s="38">
        <v>200</v>
      </c>
      <c r="M83" s="64" t="s">
        <v>514</v>
      </c>
      <c r="N83" s="65">
        <v>0.1008</v>
      </c>
      <c r="O83" s="65">
        <f t="shared" si="2"/>
        <v>20.16</v>
      </c>
      <c r="P83" s="38"/>
    </row>
    <row r="84" spans="1:16" ht="24.75" thickBot="1" x14ac:dyDescent="0.3">
      <c r="A84" s="1"/>
      <c r="B84" s="50">
        <f>ROW(B84) - ROW($B$9)</f>
        <v>75</v>
      </c>
      <c r="C84" s="57" t="s">
        <v>482</v>
      </c>
      <c r="D84" s="36" t="s">
        <v>80</v>
      </c>
      <c r="E84" s="37" t="s">
        <v>191</v>
      </c>
      <c r="F84" s="36" t="s">
        <v>263</v>
      </c>
      <c r="G84" s="37" t="s">
        <v>329</v>
      </c>
      <c r="H84" s="36" t="s">
        <v>480</v>
      </c>
      <c r="I84" s="36" t="s">
        <v>386</v>
      </c>
      <c r="J84" s="36" t="s">
        <v>443</v>
      </c>
      <c r="K84" s="37">
        <v>1</v>
      </c>
      <c r="L84" s="36">
        <v>50</v>
      </c>
      <c r="M84" s="62" t="s">
        <v>514</v>
      </c>
      <c r="N84" s="63">
        <v>0.10680000000000001</v>
      </c>
      <c r="O84" s="63">
        <f t="shared" si="2"/>
        <v>5.34</v>
      </c>
      <c r="P84" s="36"/>
    </row>
    <row r="85" spans="1:16" ht="15.75" thickBot="1" x14ac:dyDescent="0.3">
      <c r="A85" s="1"/>
      <c r="B85" s="50">
        <f t="shared" si="0"/>
        <v>76</v>
      </c>
      <c r="C85" s="58" t="s">
        <v>482</v>
      </c>
      <c r="D85" s="38" t="s">
        <v>81</v>
      </c>
      <c r="E85" s="39" t="s">
        <v>192</v>
      </c>
      <c r="F85" s="38" t="s">
        <v>263</v>
      </c>
      <c r="G85" s="39" t="s">
        <v>330</v>
      </c>
      <c r="H85" s="38" t="s">
        <v>480</v>
      </c>
      <c r="I85" s="38" t="s">
        <v>356</v>
      </c>
      <c r="J85" s="38" t="s">
        <v>444</v>
      </c>
      <c r="K85" s="39">
        <v>8</v>
      </c>
      <c r="L85" s="38">
        <v>100</v>
      </c>
      <c r="M85" s="64" t="s">
        <v>514</v>
      </c>
      <c r="N85" s="65">
        <v>0.11430000000000001</v>
      </c>
      <c r="O85" s="65">
        <f t="shared" si="2"/>
        <v>11.430000000000001</v>
      </c>
      <c r="P85" s="38"/>
    </row>
    <row r="86" spans="1:16" ht="15.75" thickBot="1" x14ac:dyDescent="0.3">
      <c r="A86" s="1"/>
      <c r="B86" s="50">
        <f>ROW(B86) - ROW($B$9)</f>
        <v>77</v>
      </c>
      <c r="C86" s="57" t="s">
        <v>482</v>
      </c>
      <c r="D86" s="36" t="s">
        <v>82</v>
      </c>
      <c r="E86" s="37" t="s">
        <v>193</v>
      </c>
      <c r="F86" s="36" t="s">
        <v>263</v>
      </c>
      <c r="G86" s="37" t="s">
        <v>331</v>
      </c>
      <c r="H86" s="36" t="s">
        <v>480</v>
      </c>
      <c r="I86" s="36" t="s">
        <v>356</v>
      </c>
      <c r="J86" s="36" t="s">
        <v>445</v>
      </c>
      <c r="K86" s="37">
        <v>3</v>
      </c>
      <c r="L86" s="36">
        <v>100</v>
      </c>
      <c r="M86" s="62" t="s">
        <v>514</v>
      </c>
      <c r="N86" s="63">
        <v>0.10300000000000001</v>
      </c>
      <c r="O86" s="63">
        <f t="shared" si="2"/>
        <v>10.3</v>
      </c>
      <c r="P86" s="36"/>
    </row>
    <row r="87" spans="1:16" ht="15.75" thickBot="1" x14ac:dyDescent="0.3">
      <c r="A87" s="1"/>
      <c r="B87" s="50">
        <f t="shared" si="0"/>
        <v>78</v>
      </c>
      <c r="C87" s="58" t="s">
        <v>482</v>
      </c>
      <c r="D87" s="38" t="s">
        <v>83</v>
      </c>
      <c r="E87" s="39" t="s">
        <v>194</v>
      </c>
      <c r="F87" s="38" t="s">
        <v>263</v>
      </c>
      <c r="G87" s="39" t="s">
        <v>332</v>
      </c>
      <c r="H87" s="38" t="s">
        <v>480</v>
      </c>
      <c r="I87" s="38" t="s">
        <v>356</v>
      </c>
      <c r="J87" s="38" t="s">
        <v>446</v>
      </c>
      <c r="K87" s="39">
        <v>2</v>
      </c>
      <c r="L87" s="38">
        <v>40</v>
      </c>
      <c r="M87" s="64" t="s">
        <v>514</v>
      </c>
      <c r="N87" s="65">
        <v>0.12570000000000001</v>
      </c>
      <c r="O87" s="65">
        <f t="shared" si="2"/>
        <v>5.0280000000000005</v>
      </c>
      <c r="P87" s="38"/>
    </row>
    <row r="88" spans="1:16" ht="15.75" thickBot="1" x14ac:dyDescent="0.3">
      <c r="A88" s="1"/>
      <c r="B88" s="50">
        <f>ROW(B88) - ROW($B$9)</f>
        <v>79</v>
      </c>
      <c r="C88" s="57" t="s">
        <v>482</v>
      </c>
      <c r="D88" s="36" t="s">
        <v>84</v>
      </c>
      <c r="E88" s="37" t="s">
        <v>195</v>
      </c>
      <c r="F88" s="36" t="s">
        <v>263</v>
      </c>
      <c r="G88" s="37" t="s">
        <v>333</v>
      </c>
      <c r="H88" s="36" t="s">
        <v>480</v>
      </c>
      <c r="I88" s="36" t="s">
        <v>389</v>
      </c>
      <c r="J88" s="36" t="s">
        <v>447</v>
      </c>
      <c r="K88" s="37">
        <v>1</v>
      </c>
      <c r="L88" s="36">
        <v>100</v>
      </c>
      <c r="M88" s="62" t="s">
        <v>514</v>
      </c>
      <c r="N88" s="63">
        <v>0.10400000000000001</v>
      </c>
      <c r="O88" s="63">
        <f t="shared" si="2"/>
        <v>10.4</v>
      </c>
      <c r="P88" s="36"/>
    </row>
    <row r="89" spans="1:16" ht="15.75" thickBot="1" x14ac:dyDescent="0.3">
      <c r="A89" s="1"/>
      <c r="B89" s="50">
        <f t="shared" si="0"/>
        <v>80</v>
      </c>
      <c r="C89" s="58" t="s">
        <v>482</v>
      </c>
      <c r="D89" s="38" t="s">
        <v>85</v>
      </c>
      <c r="E89" s="39" t="s">
        <v>196</v>
      </c>
      <c r="F89" s="38" t="s">
        <v>263</v>
      </c>
      <c r="G89" s="61" t="s">
        <v>334</v>
      </c>
      <c r="H89" s="38" t="s">
        <v>505</v>
      </c>
      <c r="I89" s="38" t="s">
        <v>390</v>
      </c>
      <c r="J89" s="38" t="s">
        <v>448</v>
      </c>
      <c r="K89" s="39">
        <v>3</v>
      </c>
      <c r="L89" s="38">
        <v>100</v>
      </c>
      <c r="M89" s="64" t="s">
        <v>514</v>
      </c>
      <c r="N89" s="65">
        <v>0.10110000000000001</v>
      </c>
      <c r="O89" s="65">
        <f t="shared" si="2"/>
        <v>10.110000000000001</v>
      </c>
      <c r="P89" s="38"/>
    </row>
    <row r="90" spans="1:16" ht="24.75" thickBot="1" x14ac:dyDescent="0.3">
      <c r="A90" s="1"/>
      <c r="B90" s="50">
        <f>ROW(B90) - ROW($B$9)</f>
        <v>81</v>
      </c>
      <c r="C90" s="57" t="s">
        <v>482</v>
      </c>
      <c r="D90" s="36" t="s">
        <v>86</v>
      </c>
      <c r="E90" s="37" t="s">
        <v>197</v>
      </c>
      <c r="F90" s="36" t="s">
        <v>263</v>
      </c>
      <c r="G90" s="37" t="s">
        <v>484</v>
      </c>
      <c r="H90" s="36" t="s">
        <v>480</v>
      </c>
      <c r="I90" s="36" t="s">
        <v>391</v>
      </c>
      <c r="J90" s="36" t="s">
        <v>449</v>
      </c>
      <c r="K90" s="37">
        <v>2</v>
      </c>
      <c r="L90" s="36">
        <v>100</v>
      </c>
      <c r="M90" s="62" t="s">
        <v>514</v>
      </c>
      <c r="N90" s="63">
        <v>0.10110000000000001</v>
      </c>
      <c r="O90" s="63">
        <f t="shared" si="2"/>
        <v>10.110000000000001</v>
      </c>
      <c r="P90" s="36"/>
    </row>
    <row r="91" spans="1:16" ht="36.75" thickBot="1" x14ac:dyDescent="0.3">
      <c r="A91" s="1"/>
      <c r="B91" s="50">
        <f t="shared" si="0"/>
        <v>82</v>
      </c>
      <c r="C91" s="58" t="s">
        <v>482</v>
      </c>
      <c r="D91" s="38" t="s">
        <v>87</v>
      </c>
      <c r="E91" s="39" t="s">
        <v>198</v>
      </c>
      <c r="F91" s="38" t="s">
        <v>263</v>
      </c>
      <c r="G91" s="39" t="s">
        <v>335</v>
      </c>
      <c r="H91" s="38" t="s">
        <v>480</v>
      </c>
      <c r="I91" s="38" t="s">
        <v>356</v>
      </c>
      <c r="J91" s="38" t="s">
        <v>450</v>
      </c>
      <c r="K91" s="39">
        <v>1</v>
      </c>
      <c r="L91" s="38">
        <v>100</v>
      </c>
      <c r="M91" s="64" t="s">
        <v>514</v>
      </c>
      <c r="N91" s="65">
        <v>0.1013</v>
      </c>
      <c r="O91" s="65">
        <f t="shared" si="2"/>
        <v>10.130000000000001</v>
      </c>
      <c r="P91" s="38"/>
    </row>
    <row r="92" spans="1:16" ht="15.75" thickBot="1" x14ac:dyDescent="0.3">
      <c r="A92" s="1"/>
      <c r="B92" s="50">
        <f>ROW(B92) - ROW($B$9)</f>
        <v>83</v>
      </c>
      <c r="C92" s="57" t="s">
        <v>482</v>
      </c>
      <c r="D92" s="36" t="s">
        <v>88</v>
      </c>
      <c r="E92" s="37" t="s">
        <v>199</v>
      </c>
      <c r="F92" s="36" t="s">
        <v>263</v>
      </c>
      <c r="G92" s="37" t="s">
        <v>336</v>
      </c>
      <c r="H92" s="36" t="s">
        <v>480</v>
      </c>
      <c r="I92" s="36" t="s">
        <v>356</v>
      </c>
      <c r="J92" s="36" t="s">
        <v>451</v>
      </c>
      <c r="K92" s="37">
        <v>5</v>
      </c>
      <c r="L92" s="36">
        <v>100</v>
      </c>
      <c r="M92" s="62" t="s">
        <v>514</v>
      </c>
      <c r="N92" s="63">
        <v>0.1014</v>
      </c>
      <c r="O92" s="63">
        <f t="shared" si="2"/>
        <v>10.14</v>
      </c>
      <c r="P92" s="36"/>
    </row>
    <row r="93" spans="1:16" ht="15.75" thickBot="1" x14ac:dyDescent="0.3">
      <c r="A93" s="1"/>
      <c r="B93" s="50">
        <f t="shared" si="0"/>
        <v>84</v>
      </c>
      <c r="C93" s="58" t="s">
        <v>482</v>
      </c>
      <c r="D93" s="38" t="s">
        <v>89</v>
      </c>
      <c r="E93" s="39" t="s">
        <v>200</v>
      </c>
      <c r="F93" s="38" t="s">
        <v>263</v>
      </c>
      <c r="G93" s="39" t="s">
        <v>337</v>
      </c>
      <c r="H93" s="38" t="s">
        <v>480</v>
      </c>
      <c r="I93" s="38" t="s">
        <v>391</v>
      </c>
      <c r="J93" s="38" t="s">
        <v>452</v>
      </c>
      <c r="K93" s="39">
        <v>2</v>
      </c>
      <c r="L93" s="38">
        <v>100</v>
      </c>
      <c r="M93" s="64" t="s">
        <v>514</v>
      </c>
      <c r="N93" s="65">
        <v>0.1014</v>
      </c>
      <c r="O93" s="65">
        <f t="shared" si="2"/>
        <v>10.14</v>
      </c>
      <c r="P93" s="38"/>
    </row>
    <row r="94" spans="1:16" ht="24.75" thickBot="1" x14ac:dyDescent="0.3">
      <c r="A94" s="1"/>
      <c r="B94" s="50">
        <f>ROW(B94) - ROW($B$9)</f>
        <v>85</v>
      </c>
      <c r="C94" s="57" t="s">
        <v>482</v>
      </c>
      <c r="D94" s="36" t="s">
        <v>90</v>
      </c>
      <c r="E94" s="37" t="s">
        <v>201</v>
      </c>
      <c r="F94" s="36" t="s">
        <v>263</v>
      </c>
      <c r="G94" s="37" t="s">
        <v>338</v>
      </c>
      <c r="H94" s="36" t="s">
        <v>480</v>
      </c>
      <c r="I94" s="36" t="s">
        <v>391</v>
      </c>
      <c r="J94" s="36" t="s">
        <v>453</v>
      </c>
      <c r="K94" s="37">
        <v>2</v>
      </c>
      <c r="L94" s="36">
        <v>100</v>
      </c>
      <c r="M94" s="62" t="s">
        <v>514</v>
      </c>
      <c r="N94" s="63">
        <v>0.10120000000000001</v>
      </c>
      <c r="O94" s="63">
        <f t="shared" si="2"/>
        <v>10.120000000000001</v>
      </c>
      <c r="P94" s="36"/>
    </row>
    <row r="95" spans="1:16" ht="15.75" thickBot="1" x14ac:dyDescent="0.3">
      <c r="A95" s="1"/>
      <c r="B95" s="50">
        <f t="shared" si="0"/>
        <v>86</v>
      </c>
      <c r="C95" s="58" t="s">
        <v>482</v>
      </c>
      <c r="D95" s="38" t="s">
        <v>91</v>
      </c>
      <c r="E95" s="39" t="s">
        <v>202</v>
      </c>
      <c r="F95" s="38" t="s">
        <v>263</v>
      </c>
      <c r="G95" s="39" t="s">
        <v>339</v>
      </c>
      <c r="H95" s="38" t="s">
        <v>480</v>
      </c>
      <c r="I95" s="38" t="s">
        <v>388</v>
      </c>
      <c r="J95" s="38" t="s">
        <v>454</v>
      </c>
      <c r="K95" s="39">
        <v>4</v>
      </c>
      <c r="L95" s="38">
        <v>45</v>
      </c>
      <c r="M95" s="64" t="s">
        <v>514</v>
      </c>
      <c r="N95" s="65">
        <v>0.1855</v>
      </c>
      <c r="O95" s="65">
        <f t="shared" si="2"/>
        <v>8.3475000000000001</v>
      </c>
      <c r="P95" s="38"/>
    </row>
    <row r="96" spans="1:16" ht="15.75" thickBot="1" x14ac:dyDescent="0.3">
      <c r="A96" s="1"/>
      <c r="B96" s="50">
        <f>ROW(B96) - ROW($B$9)</f>
        <v>87</v>
      </c>
      <c r="C96" s="57" t="s">
        <v>482</v>
      </c>
      <c r="D96" s="36" t="s">
        <v>92</v>
      </c>
      <c r="E96" s="37" t="s">
        <v>203</v>
      </c>
      <c r="F96" s="36" t="s">
        <v>263</v>
      </c>
      <c r="G96" s="37" t="s">
        <v>340</v>
      </c>
      <c r="H96" s="36" t="s">
        <v>480</v>
      </c>
      <c r="I96" s="36" t="s">
        <v>356</v>
      </c>
      <c r="J96" s="36" t="s">
        <v>455</v>
      </c>
      <c r="K96" s="37">
        <v>2</v>
      </c>
      <c r="L96" s="36">
        <v>50</v>
      </c>
      <c r="M96" s="62" t="s">
        <v>514</v>
      </c>
      <c r="N96" s="63">
        <v>0.10490000000000001</v>
      </c>
      <c r="O96" s="63">
        <f t="shared" si="2"/>
        <v>5.2450000000000001</v>
      </c>
      <c r="P96" s="36"/>
    </row>
    <row r="97" spans="1:16" ht="15.75" thickBot="1" x14ac:dyDescent="0.3">
      <c r="A97" s="1"/>
      <c r="B97" s="50">
        <f t="shared" si="0"/>
        <v>88</v>
      </c>
      <c r="C97" s="58" t="s">
        <v>482</v>
      </c>
      <c r="D97" s="38" t="s">
        <v>93</v>
      </c>
      <c r="E97" s="39" t="s">
        <v>204</v>
      </c>
      <c r="F97" s="38" t="s">
        <v>263</v>
      </c>
      <c r="G97" s="39" t="s">
        <v>341</v>
      </c>
      <c r="H97" s="38" t="s">
        <v>480</v>
      </c>
      <c r="I97" s="38" t="s">
        <v>356</v>
      </c>
      <c r="J97" s="38" t="s">
        <v>456</v>
      </c>
      <c r="K97" s="39">
        <v>2</v>
      </c>
      <c r="L97" s="38">
        <v>100</v>
      </c>
      <c r="M97" s="64" t="s">
        <v>514</v>
      </c>
      <c r="N97" s="65">
        <v>0.1014</v>
      </c>
      <c r="O97" s="65">
        <f t="shared" si="2"/>
        <v>10.14</v>
      </c>
      <c r="P97" s="38"/>
    </row>
    <row r="98" spans="1:16" ht="36.75" thickBot="1" x14ac:dyDescent="0.3">
      <c r="A98" s="1"/>
      <c r="B98" s="50">
        <f>ROW(B98) - ROW($B$9)</f>
        <v>89</v>
      </c>
      <c r="C98" s="57" t="s">
        <v>482</v>
      </c>
      <c r="D98" s="36" t="s">
        <v>94</v>
      </c>
      <c r="E98" s="37" t="s">
        <v>205</v>
      </c>
      <c r="F98" s="36" t="s">
        <v>263</v>
      </c>
      <c r="G98" s="37" t="s">
        <v>342</v>
      </c>
      <c r="H98" s="36" t="s">
        <v>480</v>
      </c>
      <c r="I98" s="36" t="s">
        <v>386</v>
      </c>
      <c r="J98" s="36" t="s">
        <v>457</v>
      </c>
      <c r="K98" s="37">
        <v>1</v>
      </c>
      <c r="L98" s="36">
        <v>20</v>
      </c>
      <c r="M98" s="62" t="s">
        <v>514</v>
      </c>
      <c r="N98" s="63">
        <v>0.1361</v>
      </c>
      <c r="O98" s="63">
        <f t="shared" si="2"/>
        <v>2.722</v>
      </c>
      <c r="P98" s="36"/>
    </row>
    <row r="99" spans="1:16" ht="60.75" thickBot="1" x14ac:dyDescent="0.3">
      <c r="A99" s="1"/>
      <c r="B99" s="50">
        <f t="shared" si="0"/>
        <v>90</v>
      </c>
      <c r="C99" s="58" t="s">
        <v>264</v>
      </c>
      <c r="D99" s="38" t="s">
        <v>95</v>
      </c>
      <c r="E99" s="39" t="s">
        <v>206</v>
      </c>
      <c r="F99" s="38" t="s">
        <v>264</v>
      </c>
      <c r="G99" s="39" t="s">
        <v>480</v>
      </c>
      <c r="H99" s="38" t="s">
        <v>480</v>
      </c>
      <c r="I99" s="38" t="s">
        <v>480</v>
      </c>
      <c r="J99" s="38" t="s">
        <v>480</v>
      </c>
      <c r="K99" s="39">
        <v>33</v>
      </c>
      <c r="L99" s="38" t="s">
        <v>480</v>
      </c>
      <c r="M99" s="64" t="s">
        <v>480</v>
      </c>
      <c r="N99" s="65">
        <v>0</v>
      </c>
      <c r="O99" s="65" t="s">
        <v>480</v>
      </c>
      <c r="P99" s="38"/>
    </row>
    <row r="100" spans="1:16" ht="36.75" thickBot="1" x14ac:dyDescent="0.3">
      <c r="A100" s="1"/>
      <c r="B100" s="50">
        <f>ROW(B100) - ROW($B$9)</f>
        <v>91</v>
      </c>
      <c r="C100" s="57" t="s">
        <v>485</v>
      </c>
      <c r="D100" s="36" t="s">
        <v>96</v>
      </c>
      <c r="E100" s="37" t="s">
        <v>207</v>
      </c>
      <c r="F100" s="36" t="s">
        <v>467</v>
      </c>
      <c r="G100" s="37" t="s">
        <v>265</v>
      </c>
      <c r="H100" s="36" t="s">
        <v>480</v>
      </c>
      <c r="I100" s="36" t="s">
        <v>392</v>
      </c>
      <c r="J100" s="36" t="s">
        <v>480</v>
      </c>
      <c r="K100" s="37">
        <v>7</v>
      </c>
      <c r="L100" s="36">
        <v>80</v>
      </c>
      <c r="M100" s="62" t="s">
        <v>514</v>
      </c>
      <c r="N100" s="63">
        <v>0.1595</v>
      </c>
      <c r="O100" s="63">
        <f t="shared" si="2"/>
        <v>12.76</v>
      </c>
      <c r="P100" s="36"/>
    </row>
    <row r="101" spans="1:16" ht="24.75" thickBot="1" x14ac:dyDescent="0.3">
      <c r="A101" s="1"/>
      <c r="B101" s="50">
        <f t="shared" si="0"/>
        <v>92</v>
      </c>
      <c r="C101" s="58" t="s">
        <v>486</v>
      </c>
      <c r="D101" s="38" t="s">
        <v>97</v>
      </c>
      <c r="E101" s="75" t="s">
        <v>208</v>
      </c>
      <c r="F101" s="76" t="s">
        <v>487</v>
      </c>
      <c r="G101" s="75" t="s">
        <v>266</v>
      </c>
      <c r="H101" s="76"/>
      <c r="I101" s="76" t="s">
        <v>393</v>
      </c>
      <c r="J101" s="76" t="s">
        <v>480</v>
      </c>
      <c r="K101" s="75">
        <v>1</v>
      </c>
      <c r="L101" s="76">
        <v>11</v>
      </c>
      <c r="M101" s="64" t="s">
        <v>514</v>
      </c>
      <c r="N101" s="65">
        <v>0.3</v>
      </c>
      <c r="O101" s="77">
        <f t="shared" si="2"/>
        <v>3.3</v>
      </c>
      <c r="P101" s="68"/>
    </row>
    <row r="102" spans="1:16" ht="24.75" thickBot="1" x14ac:dyDescent="0.3">
      <c r="A102" s="1"/>
      <c r="B102" s="50">
        <f>ROW(B102) - ROW($B$9)</f>
        <v>93</v>
      </c>
      <c r="C102" s="57" t="s">
        <v>486</v>
      </c>
      <c r="D102" s="36" t="s">
        <v>98</v>
      </c>
      <c r="E102" s="37" t="s">
        <v>208</v>
      </c>
      <c r="F102" s="36" t="s">
        <v>487</v>
      </c>
      <c r="G102" s="37" t="s">
        <v>267</v>
      </c>
      <c r="H102" s="36" t="s">
        <v>480</v>
      </c>
      <c r="I102" s="36" t="s">
        <v>393</v>
      </c>
      <c r="J102" s="36" t="s">
        <v>480</v>
      </c>
      <c r="K102" s="37">
        <v>1</v>
      </c>
      <c r="L102" s="36">
        <v>12</v>
      </c>
      <c r="M102" s="62" t="s">
        <v>514</v>
      </c>
      <c r="N102" s="63">
        <v>0.66289999999999993</v>
      </c>
      <c r="O102" s="63">
        <f t="shared" si="2"/>
        <v>7.9547999999999988</v>
      </c>
      <c r="P102" s="36"/>
    </row>
    <row r="103" spans="1:16" ht="24.75" thickBot="1" x14ac:dyDescent="0.3">
      <c r="A103" s="1"/>
      <c r="B103" s="50">
        <f t="shared" si="0"/>
        <v>94</v>
      </c>
      <c r="C103" s="58" t="s">
        <v>486</v>
      </c>
      <c r="D103" s="38" t="s">
        <v>99</v>
      </c>
      <c r="E103" s="39" t="s">
        <v>209</v>
      </c>
      <c r="F103" s="38" t="s">
        <v>268</v>
      </c>
      <c r="G103" s="39" t="s">
        <v>343</v>
      </c>
      <c r="H103" s="38" t="s">
        <v>480</v>
      </c>
      <c r="I103" s="38" t="s">
        <v>394</v>
      </c>
      <c r="J103" s="38" t="s">
        <v>480</v>
      </c>
      <c r="K103" s="39">
        <v>2</v>
      </c>
      <c r="L103" s="38">
        <v>22</v>
      </c>
      <c r="M103" s="64" t="s">
        <v>514</v>
      </c>
      <c r="N103" s="65">
        <v>0.25480000000000003</v>
      </c>
      <c r="O103" s="65">
        <f t="shared" si="2"/>
        <v>5.6056000000000008</v>
      </c>
      <c r="P103" s="38"/>
    </row>
    <row r="104" spans="1:16" ht="15.75" thickBot="1" x14ac:dyDescent="0.3">
      <c r="A104" s="1"/>
      <c r="B104" s="50">
        <f>ROW(B104) - ROW($B$9)</f>
        <v>95</v>
      </c>
      <c r="C104" s="57" t="s">
        <v>486</v>
      </c>
      <c r="D104" s="36" t="s">
        <v>100</v>
      </c>
      <c r="E104" s="37" t="s">
        <v>210</v>
      </c>
      <c r="F104" s="36" t="s">
        <v>488</v>
      </c>
      <c r="G104" s="37" t="s">
        <v>269</v>
      </c>
      <c r="H104" s="36" t="s">
        <v>480</v>
      </c>
      <c r="I104" s="36" t="s">
        <v>395</v>
      </c>
      <c r="J104" s="36" t="s">
        <v>480</v>
      </c>
      <c r="K104" s="37">
        <v>1</v>
      </c>
      <c r="L104" s="36">
        <v>11</v>
      </c>
      <c r="M104" s="62" t="s">
        <v>514</v>
      </c>
      <c r="N104" s="63">
        <v>0.25559999999999999</v>
      </c>
      <c r="O104" s="63">
        <f t="shared" si="2"/>
        <v>2.8115999999999999</v>
      </c>
      <c r="P104" s="36"/>
    </row>
    <row r="105" spans="1:16" ht="24.75" thickBot="1" x14ac:dyDescent="0.3">
      <c r="A105" s="1"/>
      <c r="B105" s="50">
        <f t="shared" si="0"/>
        <v>96</v>
      </c>
      <c r="C105" s="58" t="s">
        <v>486</v>
      </c>
      <c r="D105" s="38" t="s">
        <v>101</v>
      </c>
      <c r="E105" s="39" t="s">
        <v>211</v>
      </c>
      <c r="F105" s="38" t="s">
        <v>268</v>
      </c>
      <c r="G105" s="39" t="s">
        <v>344</v>
      </c>
      <c r="H105" s="38" t="s">
        <v>480</v>
      </c>
      <c r="I105" s="38" t="s">
        <v>396</v>
      </c>
      <c r="J105" s="38" t="s">
        <v>480</v>
      </c>
      <c r="K105" s="39">
        <v>1</v>
      </c>
      <c r="L105" s="38">
        <v>12</v>
      </c>
      <c r="M105" s="64" t="s">
        <v>514</v>
      </c>
      <c r="N105" s="65">
        <v>0.29189999999999999</v>
      </c>
      <c r="O105" s="65">
        <f t="shared" si="2"/>
        <v>3.5027999999999997</v>
      </c>
      <c r="P105" s="38"/>
    </row>
    <row r="106" spans="1:16" ht="15.75" thickBot="1" x14ac:dyDescent="0.3">
      <c r="A106" s="1"/>
      <c r="B106" s="50">
        <f>ROW(B106) - ROW($B$9)</f>
        <v>97</v>
      </c>
      <c r="C106" s="57" t="s">
        <v>486</v>
      </c>
      <c r="D106" s="36" t="s">
        <v>102</v>
      </c>
      <c r="E106" s="37" t="s">
        <v>212</v>
      </c>
      <c r="F106" s="36" t="s">
        <v>268</v>
      </c>
      <c r="G106" s="37" t="s">
        <v>345</v>
      </c>
      <c r="H106" s="36" t="s">
        <v>480</v>
      </c>
      <c r="I106" s="36" t="s">
        <v>397</v>
      </c>
      <c r="J106" s="36" t="s">
        <v>480</v>
      </c>
      <c r="K106" s="37">
        <v>1</v>
      </c>
      <c r="L106" s="36">
        <v>15</v>
      </c>
      <c r="M106" s="62" t="s">
        <v>514</v>
      </c>
      <c r="N106" s="63">
        <v>0.23039999999999999</v>
      </c>
      <c r="O106" s="63">
        <f t="shared" si="2"/>
        <v>3.456</v>
      </c>
      <c r="P106" s="36"/>
    </row>
    <row r="107" spans="1:16" ht="24.75" thickBot="1" x14ac:dyDescent="0.3">
      <c r="A107" s="1"/>
      <c r="B107" s="50">
        <f t="shared" si="0"/>
        <v>98</v>
      </c>
      <c r="C107" s="58" t="s">
        <v>486</v>
      </c>
      <c r="D107" s="38" t="s">
        <v>103</v>
      </c>
      <c r="E107" s="39" t="s">
        <v>213</v>
      </c>
      <c r="F107" s="38" t="s">
        <v>268</v>
      </c>
      <c r="G107" s="39" t="s">
        <v>346</v>
      </c>
      <c r="H107" s="38" t="s">
        <v>480</v>
      </c>
      <c r="I107" s="38" t="s">
        <v>396</v>
      </c>
      <c r="J107" s="38" t="s">
        <v>480</v>
      </c>
      <c r="K107" s="39">
        <v>1</v>
      </c>
      <c r="L107" s="38">
        <v>12</v>
      </c>
      <c r="M107" s="64" t="s">
        <v>514</v>
      </c>
      <c r="N107" s="65">
        <v>0.41849999999999998</v>
      </c>
      <c r="O107" s="65">
        <f t="shared" si="2"/>
        <v>5.0220000000000002</v>
      </c>
      <c r="P107" s="38"/>
    </row>
    <row r="108" spans="1:16" ht="24.75" thickBot="1" x14ac:dyDescent="0.3">
      <c r="A108" s="1"/>
      <c r="B108" s="50">
        <f>ROW(B108) - ROW($B$9)</f>
        <v>99</v>
      </c>
      <c r="C108" s="57" t="s">
        <v>486</v>
      </c>
      <c r="D108" s="36" t="s">
        <v>104</v>
      </c>
      <c r="E108" s="37" t="s">
        <v>489</v>
      </c>
      <c r="F108" s="36" t="s">
        <v>270</v>
      </c>
      <c r="G108" s="37" t="s">
        <v>347</v>
      </c>
      <c r="H108" s="36" t="s">
        <v>480</v>
      </c>
      <c r="I108" s="36" t="s">
        <v>398</v>
      </c>
      <c r="J108" s="36" t="s">
        <v>480</v>
      </c>
      <c r="K108" s="37">
        <v>1</v>
      </c>
      <c r="L108" s="36">
        <v>11</v>
      </c>
      <c r="M108" s="62" t="s">
        <v>514</v>
      </c>
      <c r="N108" s="63">
        <v>2.06</v>
      </c>
      <c r="O108" s="63">
        <f t="shared" si="2"/>
        <v>22.66</v>
      </c>
      <c r="P108" s="36"/>
    </row>
    <row r="109" spans="1:16" ht="24.75" thickBot="1" x14ac:dyDescent="0.3">
      <c r="A109" s="1"/>
      <c r="B109" s="50">
        <f t="shared" si="0"/>
        <v>100</v>
      </c>
      <c r="C109" s="58" t="s">
        <v>486</v>
      </c>
      <c r="D109" s="38" t="s">
        <v>105</v>
      </c>
      <c r="E109" s="39" t="s">
        <v>490</v>
      </c>
      <c r="F109" s="38" t="s">
        <v>491</v>
      </c>
      <c r="G109" s="39" t="s">
        <v>271</v>
      </c>
      <c r="H109" s="38" t="s">
        <v>480</v>
      </c>
      <c r="I109" s="38" t="s">
        <v>399</v>
      </c>
      <c r="J109" s="38" t="s">
        <v>480</v>
      </c>
      <c r="K109" s="39">
        <v>1</v>
      </c>
      <c r="L109" s="38">
        <v>11</v>
      </c>
      <c r="M109" s="64" t="s">
        <v>514</v>
      </c>
      <c r="N109" s="65">
        <v>20.93</v>
      </c>
      <c r="O109" s="65">
        <f t="shared" si="2"/>
        <v>230.23</v>
      </c>
      <c r="P109" s="38"/>
    </row>
    <row r="110" spans="1:16" ht="24.75" thickBot="1" x14ac:dyDescent="0.3">
      <c r="A110" s="1"/>
      <c r="B110" s="50">
        <f>ROW(B110) - ROW($B$9)</f>
        <v>101</v>
      </c>
      <c r="C110" s="57" t="s">
        <v>486</v>
      </c>
      <c r="D110" s="36" t="s">
        <v>106</v>
      </c>
      <c r="E110" s="37" t="s">
        <v>214</v>
      </c>
      <c r="F110" s="36" t="s">
        <v>268</v>
      </c>
      <c r="G110" s="37" t="s">
        <v>348</v>
      </c>
      <c r="H110" s="36" t="s">
        <v>480</v>
      </c>
      <c r="I110" s="36" t="s">
        <v>400</v>
      </c>
      <c r="J110" s="36" t="s">
        <v>480</v>
      </c>
      <c r="K110" s="37">
        <v>2</v>
      </c>
      <c r="L110" s="36">
        <v>25</v>
      </c>
      <c r="M110" s="62" t="s">
        <v>514</v>
      </c>
      <c r="N110" s="63">
        <v>0.2409</v>
      </c>
      <c r="O110" s="63">
        <f t="shared" si="2"/>
        <v>6.0225</v>
      </c>
      <c r="P110" s="36"/>
    </row>
    <row r="111" spans="1:16" ht="36.75" thickBot="1" x14ac:dyDescent="0.3">
      <c r="A111" s="1"/>
      <c r="B111" s="50">
        <f t="shared" si="0"/>
        <v>102</v>
      </c>
      <c r="C111" s="58" t="s">
        <v>486</v>
      </c>
      <c r="D111" s="38" t="s">
        <v>107</v>
      </c>
      <c r="E111" s="39" t="s">
        <v>215</v>
      </c>
      <c r="F111" s="38" t="s">
        <v>272</v>
      </c>
      <c r="G111" s="39" t="s">
        <v>349</v>
      </c>
      <c r="H111" s="38" t="s">
        <v>480</v>
      </c>
      <c r="I111" s="38" t="s">
        <v>365</v>
      </c>
      <c r="J111" s="38" t="s">
        <v>480</v>
      </c>
      <c r="K111" s="39">
        <v>1</v>
      </c>
      <c r="L111" s="38">
        <v>11</v>
      </c>
      <c r="M111" s="64" t="s">
        <v>514</v>
      </c>
      <c r="N111" s="65">
        <v>0.96409999999999996</v>
      </c>
      <c r="O111" s="65">
        <f t="shared" si="2"/>
        <v>10.6051</v>
      </c>
      <c r="P111" s="38"/>
    </row>
    <row r="112" spans="1:16" ht="15.75" thickBot="1" x14ac:dyDescent="0.3">
      <c r="A112" s="1"/>
      <c r="B112" s="50">
        <f>ROW(B112) - ROW($B$9)</f>
        <v>103</v>
      </c>
      <c r="C112" s="57" t="s">
        <v>486</v>
      </c>
      <c r="D112" s="36" t="s">
        <v>108</v>
      </c>
      <c r="E112" s="37" t="s">
        <v>216</v>
      </c>
      <c r="F112" s="36" t="s">
        <v>273</v>
      </c>
      <c r="G112" s="37" t="s">
        <v>350</v>
      </c>
      <c r="H112" s="36" t="s">
        <v>480</v>
      </c>
      <c r="I112" s="36" t="s">
        <v>401</v>
      </c>
      <c r="J112" s="36" t="s">
        <v>480</v>
      </c>
      <c r="K112" s="37">
        <v>1</v>
      </c>
      <c r="L112" s="36">
        <v>11</v>
      </c>
      <c r="M112" s="62" t="s">
        <v>514</v>
      </c>
      <c r="N112" s="63">
        <v>6.3104999999999993</v>
      </c>
      <c r="O112" s="63">
        <f t="shared" si="2"/>
        <v>69.415499999999994</v>
      </c>
      <c r="P112" s="36"/>
    </row>
    <row r="113" spans="1:16" ht="24.75" thickBot="1" x14ac:dyDescent="0.3">
      <c r="A113" s="1"/>
      <c r="B113" s="50">
        <f t="shared" si="0"/>
        <v>104</v>
      </c>
      <c r="C113" s="58" t="s">
        <v>486</v>
      </c>
      <c r="D113" s="38" t="s">
        <v>109</v>
      </c>
      <c r="E113" s="39" t="s">
        <v>217</v>
      </c>
      <c r="F113" s="38" t="s">
        <v>274</v>
      </c>
      <c r="G113" s="39" t="s">
        <v>351</v>
      </c>
      <c r="H113" s="38" t="s">
        <v>480</v>
      </c>
      <c r="I113" s="38" t="s">
        <v>402</v>
      </c>
      <c r="J113" s="38" t="s">
        <v>480</v>
      </c>
      <c r="K113" s="39">
        <v>1</v>
      </c>
      <c r="L113" s="38">
        <v>11</v>
      </c>
      <c r="M113" s="64" t="s">
        <v>514</v>
      </c>
      <c r="N113" s="65">
        <v>14.936</v>
      </c>
      <c r="O113" s="65">
        <f t="shared" si="2"/>
        <v>164.29599999999999</v>
      </c>
      <c r="P113" s="38"/>
    </row>
    <row r="114" spans="1:16" ht="15.75" thickBot="1" x14ac:dyDescent="0.3">
      <c r="A114" s="1"/>
      <c r="B114" s="50">
        <f>ROW(B114) - ROW($B$9)</f>
        <v>105</v>
      </c>
      <c r="C114" s="57" t="s">
        <v>486</v>
      </c>
      <c r="D114" s="36" t="s">
        <v>110</v>
      </c>
      <c r="E114" s="37" t="s">
        <v>218</v>
      </c>
      <c r="F114" s="36" t="s">
        <v>275</v>
      </c>
      <c r="G114" s="37" t="s">
        <v>352</v>
      </c>
      <c r="H114" s="36" t="s">
        <v>480</v>
      </c>
      <c r="I114" s="36" t="s">
        <v>403</v>
      </c>
      <c r="J114" s="36" t="s">
        <v>480</v>
      </c>
      <c r="K114" s="37">
        <v>1</v>
      </c>
      <c r="L114" s="36">
        <v>11</v>
      </c>
      <c r="M114" s="62" t="s">
        <v>514</v>
      </c>
      <c r="N114" s="63">
        <v>13.7875</v>
      </c>
      <c r="O114" s="63">
        <f t="shared" si="2"/>
        <v>151.66249999999999</v>
      </c>
      <c r="P114" s="36"/>
    </row>
    <row r="115" spans="1:16" ht="24.75" thickBot="1" x14ac:dyDescent="0.3">
      <c r="A115" s="1"/>
      <c r="B115" s="50">
        <f t="shared" si="0"/>
        <v>106</v>
      </c>
      <c r="C115" s="58" t="s">
        <v>486</v>
      </c>
      <c r="D115" s="38" t="s">
        <v>111</v>
      </c>
      <c r="E115" s="39" t="s">
        <v>219</v>
      </c>
      <c r="F115" s="38" t="s">
        <v>467</v>
      </c>
      <c r="G115" s="39" t="s">
        <v>276</v>
      </c>
      <c r="H115" s="38" t="s">
        <v>480</v>
      </c>
      <c r="I115" s="38" t="s">
        <v>404</v>
      </c>
      <c r="J115" s="38" t="s">
        <v>480</v>
      </c>
      <c r="K115" s="39">
        <v>1</v>
      </c>
      <c r="L115" s="38">
        <v>11</v>
      </c>
      <c r="M115" s="64" t="s">
        <v>514</v>
      </c>
      <c r="N115" s="65">
        <v>17.600000000000001</v>
      </c>
      <c r="O115" s="65">
        <f t="shared" si="2"/>
        <v>193.60000000000002</v>
      </c>
      <c r="P115" s="38"/>
    </row>
    <row r="116" spans="1:16" ht="15.75" thickBot="1" x14ac:dyDescent="0.3">
      <c r="A116" s="1"/>
      <c r="B116" s="50">
        <f>ROW(B116) - ROW($B$9)</f>
        <v>107</v>
      </c>
      <c r="C116" s="57" t="s">
        <v>492</v>
      </c>
      <c r="D116" s="36" t="s">
        <v>112</v>
      </c>
      <c r="E116" s="37" t="s">
        <v>220</v>
      </c>
      <c r="F116" s="36" t="s">
        <v>467</v>
      </c>
      <c r="G116" s="37" t="s">
        <v>277</v>
      </c>
      <c r="H116" s="36" t="s">
        <v>480</v>
      </c>
      <c r="I116" s="36" t="s">
        <v>405</v>
      </c>
      <c r="J116" s="36" t="s">
        <v>480</v>
      </c>
      <c r="K116" s="37">
        <v>2</v>
      </c>
      <c r="L116" s="36">
        <v>22</v>
      </c>
      <c r="M116" s="62" t="s">
        <v>514</v>
      </c>
      <c r="N116" s="63">
        <v>0.44950000000000001</v>
      </c>
      <c r="O116" s="63">
        <f t="shared" si="2"/>
        <v>9.8889999999999993</v>
      </c>
      <c r="P116" s="36"/>
    </row>
    <row r="117" spans="1:16" ht="36.75" thickBot="1" x14ac:dyDescent="0.3">
      <c r="A117" s="1"/>
      <c r="B117" s="50">
        <f t="shared" si="0"/>
        <v>108</v>
      </c>
      <c r="C117" s="58" t="s">
        <v>492</v>
      </c>
      <c r="D117" s="38" t="s">
        <v>113</v>
      </c>
      <c r="E117" s="39" t="s">
        <v>221</v>
      </c>
      <c r="F117" s="38" t="s">
        <v>467</v>
      </c>
      <c r="G117" s="39" t="s">
        <v>278</v>
      </c>
      <c r="H117" s="38" t="s">
        <v>480</v>
      </c>
      <c r="I117" s="38" t="s">
        <v>406</v>
      </c>
      <c r="J117" s="38" t="s">
        <v>458</v>
      </c>
      <c r="K117" s="39">
        <v>1</v>
      </c>
      <c r="L117" s="38">
        <v>15</v>
      </c>
      <c r="M117" s="64" t="s">
        <v>514</v>
      </c>
      <c r="N117" s="65">
        <v>0.1865</v>
      </c>
      <c r="O117" s="65">
        <f t="shared" si="2"/>
        <v>2.7974999999999999</v>
      </c>
      <c r="P117" s="38"/>
    </row>
    <row r="118" spans="1:16" ht="36.75" thickBot="1" x14ac:dyDescent="0.3">
      <c r="A118" s="1"/>
      <c r="B118" s="50">
        <f>ROW(B118) - ROW($B$9)</f>
        <v>109</v>
      </c>
      <c r="C118" s="57" t="s">
        <v>492</v>
      </c>
      <c r="D118" s="36" t="s">
        <v>114</v>
      </c>
      <c r="E118" s="37" t="s">
        <v>222</v>
      </c>
      <c r="F118" s="36" t="s">
        <v>467</v>
      </c>
      <c r="G118" s="37" t="s">
        <v>279</v>
      </c>
      <c r="H118" s="36" t="s">
        <v>480</v>
      </c>
      <c r="I118" s="36" t="s">
        <v>407</v>
      </c>
      <c r="J118" s="36" t="s">
        <v>459</v>
      </c>
      <c r="K118" s="37">
        <v>1</v>
      </c>
      <c r="L118" s="36">
        <v>11</v>
      </c>
      <c r="M118" s="62" t="s">
        <v>514</v>
      </c>
      <c r="N118" s="63">
        <v>0.26180000000000003</v>
      </c>
      <c r="O118" s="63">
        <f t="shared" si="2"/>
        <v>2.8798000000000004</v>
      </c>
      <c r="P118" s="36"/>
    </row>
    <row r="119" spans="1:16" ht="36.75" thickBot="1" x14ac:dyDescent="0.3">
      <c r="A119" s="1"/>
      <c r="B119" s="50">
        <f t="shared" si="0"/>
        <v>110</v>
      </c>
      <c r="C119" s="58" t="s">
        <v>492</v>
      </c>
      <c r="D119" s="38" t="s">
        <v>115</v>
      </c>
      <c r="E119" s="39" t="s">
        <v>223</v>
      </c>
      <c r="F119" s="38" t="s">
        <v>467</v>
      </c>
      <c r="G119" s="39" t="s">
        <v>280</v>
      </c>
      <c r="H119" s="38" t="s">
        <v>480</v>
      </c>
      <c r="I119" s="38" t="s">
        <v>493</v>
      </c>
      <c r="J119" s="38" t="s">
        <v>460</v>
      </c>
      <c r="K119" s="39">
        <v>1</v>
      </c>
      <c r="L119" s="38">
        <v>11</v>
      </c>
      <c r="M119" s="64" t="s">
        <v>514</v>
      </c>
      <c r="N119" s="65">
        <v>0.34360000000000002</v>
      </c>
      <c r="O119" s="65">
        <f t="shared" si="2"/>
        <v>3.7796000000000003</v>
      </c>
      <c r="P119" s="38"/>
    </row>
    <row r="120" spans="1:16" ht="19.5" thickBot="1" x14ac:dyDescent="0.3">
      <c r="A120" s="1"/>
      <c r="B120" s="31"/>
      <c r="C120" s="48"/>
      <c r="D120" s="32"/>
      <c r="E120" s="33"/>
      <c r="F120" s="34"/>
      <c r="G120" s="35"/>
      <c r="H120" s="35"/>
      <c r="I120" s="34"/>
      <c r="J120" s="35"/>
      <c r="K120" s="35"/>
      <c r="L120" s="73" t="s">
        <v>510</v>
      </c>
      <c r="M120" s="74"/>
      <c r="N120" s="74"/>
      <c r="O120" s="66">
        <f>SUM(O10:O119)</f>
        <v>1787.6428999999998</v>
      </c>
      <c r="P120" s="41"/>
    </row>
    <row r="121" spans="1:16" ht="19.5" thickBot="1" x14ac:dyDescent="0.3">
      <c r="A121" s="1"/>
      <c r="B121" s="24"/>
      <c r="C121" s="49"/>
      <c r="D121" s="8"/>
      <c r="E121" s="9"/>
      <c r="F121" s="9"/>
      <c r="G121" s="9"/>
      <c r="H121" s="9"/>
      <c r="I121" s="9"/>
      <c r="J121" s="9"/>
      <c r="K121" s="9"/>
      <c r="L121" s="73" t="s">
        <v>511</v>
      </c>
      <c r="M121" s="74"/>
      <c r="N121" s="74"/>
      <c r="O121" s="67">
        <f>O120/10</f>
        <v>178.76428999999999</v>
      </c>
      <c r="P121" s="42"/>
    </row>
  </sheetData>
  <mergeCells count="4">
    <mergeCell ref="J1:P1"/>
    <mergeCell ref="P3:P8"/>
    <mergeCell ref="L120:N120"/>
    <mergeCell ref="L121:N12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2022-10-17T12:41:33Z</dcterms:modified>
</cp:coreProperties>
</file>