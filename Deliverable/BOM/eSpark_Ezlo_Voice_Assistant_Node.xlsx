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\BOM\"/>
    </mc:Choice>
  </mc:AlternateContent>
  <xr:revisionPtr revIDLastSave="0" documentId="13_ncr:1_{23DCB7D6-EDDB-4D01-8A3D-C99E7A3DE5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2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10" i="1"/>
  <c r="Q78" i="1" l="1"/>
  <c r="Q79" i="1" s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<sst xmlns="http://schemas.openxmlformats.org/spreadsheetml/2006/main" count="717" uniqueCount="418">
  <si>
    <t>Component list</t>
  </si>
  <si>
    <t>Source Data From:</t>
  </si>
  <si>
    <t>Project:</t>
  </si>
  <si>
    <t>Variant:</t>
  </si>
  <si>
    <t>#</t>
  </si>
  <si>
    <t>None</t>
  </si>
  <si>
    <t>Designator</t>
  </si>
  <si>
    <t>C3, C6, C53, C57</t>
  </si>
  <si>
    <t>C4, C7</t>
  </si>
  <si>
    <t>C5</t>
  </si>
  <si>
    <t>C8</t>
  </si>
  <si>
    <t>C9, C22</t>
  </si>
  <si>
    <t>C14, C15</t>
  </si>
  <si>
    <t>C16</t>
  </si>
  <si>
    <t>C19</t>
  </si>
  <si>
    <t>C20</t>
  </si>
  <si>
    <t>C21</t>
  </si>
  <si>
    <t>C24, C25, C26, C27, C28, C29, C30, C31</t>
  </si>
  <si>
    <t>C33, C34</t>
  </si>
  <si>
    <t>C38, C60</t>
  </si>
  <si>
    <t>C39, C40</t>
  </si>
  <si>
    <t>C41, C42</t>
  </si>
  <si>
    <t>C46</t>
  </si>
  <si>
    <t>C47</t>
  </si>
  <si>
    <t>D1, D2</t>
  </si>
  <si>
    <t>D3</t>
  </si>
  <si>
    <t>D4</t>
  </si>
  <si>
    <t>J1</t>
  </si>
  <si>
    <t>J2</t>
  </si>
  <si>
    <t>J3</t>
  </si>
  <si>
    <t>L1</t>
  </si>
  <si>
    <t>L2</t>
  </si>
  <si>
    <t>L3</t>
  </si>
  <si>
    <t>L4, L5</t>
  </si>
  <si>
    <t>L6</t>
  </si>
  <si>
    <t>L7</t>
  </si>
  <si>
    <t>MIC1, MIC2, MIC3, MIC4</t>
  </si>
  <si>
    <t>P1, P2, P3, P4</t>
  </si>
  <si>
    <t>P5</t>
  </si>
  <si>
    <t>P6, P7, P8, P9, P10</t>
  </si>
  <si>
    <t>R1, R10, R14, R15, R16, R17, R18, R19, R21, R22, R35</t>
  </si>
  <si>
    <t>R2</t>
  </si>
  <si>
    <t>R3, R34</t>
  </si>
  <si>
    <t>R4</t>
  </si>
  <si>
    <t>R5</t>
  </si>
  <si>
    <t>R6</t>
  </si>
  <si>
    <t>R7</t>
  </si>
  <si>
    <t>R8</t>
  </si>
  <si>
    <t>R9, R13</t>
  </si>
  <si>
    <t>R11</t>
  </si>
  <si>
    <t>R12</t>
  </si>
  <si>
    <t>R23, R24, R25, R26</t>
  </si>
  <si>
    <t>R27, R28</t>
  </si>
  <si>
    <t>R29</t>
  </si>
  <si>
    <t>R31</t>
  </si>
  <si>
    <t>R32, R33</t>
  </si>
  <si>
    <t>SB1, SB2, SB3, SB4, SB5, SB6, SB7, SB8, SB9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</si>
  <si>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</si>
  <si>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</si>
  <si>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</si>
  <si>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</si>
  <si>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</si>
  <si>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</si>
  <si>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</si>
  <si>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</si>
  <si>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</si>
  <si>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</si>
  <si>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</si>
  <si>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</si>
  <si>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X1</t>
  </si>
  <si>
    <t>X2</t>
  </si>
  <si>
    <t>Description</t>
  </si>
  <si>
    <t>CAP CER 0.1UF 50V Y5V 0603</t>
  </si>
  <si>
    <t>25V 5mm 10mm 100uF 100kHz SMD,5x10mm Aluminum Electrolytic Cap- SMD ROHS</t>
  </si>
  <si>
    <t>470uF ±20% 50V 12.5mm 13.5mm 1000hrs 105℃ -40℃~+105℃ SMD,12.5x13.5mm Aluminum Electrolytic Capacitors - SMD RoHS</t>
  </si>
  <si>
    <t>CAP CER 470pF 10% X7R 50V 0603 SMD</t>
  </si>
  <si>
    <t>CAP CER 1500PF 50V X7R 0402</t>
  </si>
  <si>
    <t>CAP CER 10UF 25V X5R 0603</t>
  </si>
  <si>
    <t>CAP CER 1UF 25V X5R 0603</t>
  </si>
  <si>
    <t>CAP CER 22PF 50V C0G/NP0 0402</t>
  </si>
  <si>
    <t>CAP CER 100PF 25V X7R 0603</t>
  </si>
  <si>
    <t>CAP CER 4.7UF 25V X5R 0603</t>
  </si>
  <si>
    <t>CAP CER 3300PF 50V X7R 0402</t>
  </si>
  <si>
    <t>CAP CER 10nF 50V X7R 0603</t>
  </si>
  <si>
    <t>CAP CER 2.2UF 25V X5R 0603</t>
  </si>
  <si>
    <t>CAP CER 18PF 50V C0G/NPO 0603</t>
  </si>
  <si>
    <t>CAP TANT 10UF 10% 16V 2312</t>
  </si>
  <si>
    <t>CAP ALUM 10uF 25V SMD</t>
  </si>
  <si>
    <t>CAP CER 0.47UF 50V X5R 0603</t>
  </si>
  <si>
    <t>CAP SMD  2.7pF ±0.25pF 50V NPO 0603</t>
  </si>
  <si>
    <t>CAP SMD 4.7pF ±0.1pF 50V NPO 0603</t>
  </si>
  <si>
    <t>CAP CER 1000PF 25V C0G/NPO 0603</t>
  </si>
  <si>
    <t>40V 500mV@2A 2A SMA(DO-214AC) Schottky Barrier Diodes (SBD) ROHS</t>
  </si>
  <si>
    <t>15V 19A 3.3V 4V Bidirectional SOD-323 ESD Protection Devices ROHS</t>
  </si>
  <si>
    <t>DFN1006-2L ESD Protection Devices ROHS</t>
  </si>
  <si>
    <t>CONN U.FL RCPT STR 50 OHM SMD</t>
  </si>
  <si>
    <t>05P MTA100 HDR ASSY (NARROW)</t>
  </si>
  <si>
    <t>DC Power Receptacle 1.65mm 4.3mm 7A 24V Plugin AC/DC Power Connectors ROHS</t>
  </si>
  <si>
    <t>Inductor Power Shielded Wirewound 220uH 20% 1KHz Ferrite 1.3A 310mOhm DCR Blister T/R</t>
  </si>
  <si>
    <t>1.3A 180uH ±20% 350mΩ SMD,12x12x8mm Power Inductors ROHS</t>
  </si>
  <si>
    <t>2nH ±0.3nH 0603 Inductors</t>
  </si>
  <si>
    <t>Fixed Ind 3320%UH 0.188 Ohm 1450M</t>
  </si>
  <si>
    <t>700mA 1.6nH ±10% 40mΩ 0603 Inductors (SMD) ROHS</t>
  </si>
  <si>
    <t>FERRITE BEAD 120 OHM 0603 1LN</t>
  </si>
  <si>
    <t>MICROPHONE MEMS ANALOG OMNI</t>
  </si>
  <si>
    <t>CONN HEADER VERT 2POS 2.54MM</t>
  </si>
  <si>
    <t>CONN HEADER 6 POS 2.54</t>
  </si>
  <si>
    <t>Test Point ON</t>
  </si>
  <si>
    <t>RES SMD 10K OHM 5% 1/10W 0603</t>
  </si>
  <si>
    <t>±1% 1/10W Thick Film Resistors 75V ±600ppm/℃ -55℃~+155℃ 0.33Ω 0603 Chip Resistor - Surface Mount ROHS</t>
  </si>
  <si>
    <t>RES SMD 2K OHM 1% 1/10W 0603</t>
  </si>
  <si>
    <t>RES 1.2K OHM 5% 1/10W 0603</t>
  </si>
  <si>
    <t>±0.1% 1/16W Thin Film Resistor 25V ±25ppm/℃ -55℃~+155℃ 180Ω 0402 Chip Resistor - Surface Mount ROHS</t>
  </si>
  <si>
    <t>RES 19.1K OHM 1% 1/10W 0603</t>
  </si>
  <si>
    <t>RES 0.22 OHM 1% 1/8W 0402</t>
  </si>
  <si>
    <t>RES SMD 2200Ω ± 5.00% 0.1W ± 100ppm/℃ 0603</t>
  </si>
  <si>
    <t>RES SMD 0R, 1%, 0.1W, 0603</t>
  </si>
  <si>
    <t>RES SMD 499Ω ± 1.00% 0.1W ± 100ppm/℃ 0603</t>
  </si>
  <si>
    <t>RES SMD 20K OHM 1% 1/10W 0603</t>
  </si>
  <si>
    <t>RES SMD 100K OHM 0.1% 1/10W 0603</t>
  </si>
  <si>
    <t>RES SMD 22 OHM 0.1% 1/10W 0603</t>
  </si>
  <si>
    <t>RES Thin Film SMD 8.2K OHM 0.1% 1/10W 0603</t>
  </si>
  <si>
    <t>RES SMD 10 OHM 1% 1/4W 1206</t>
  </si>
  <si>
    <t>RES SMD 1K OHM 0.5% 1/10W 0603</t>
  </si>
  <si>
    <t>RES SMD 4.7K OHM 5% 1/10W 0603</t>
  </si>
  <si>
    <t>Solder Bridge ON</t>
  </si>
  <si>
    <t>3mm 2mm Round Button 50mA Top3.65mm SPST 12V SMD Tactile Switches</t>
  </si>
  <si>
    <t>IC PWR SWITCH P-CHAN 1:1 SC70-6</t>
  </si>
  <si>
    <t>IC REG BUCK BST ADJ 1.5A 8SOIC</t>
  </si>
  <si>
    <t>IC REG BUCK BST ADJ 1.5A 8SON</t>
  </si>
  <si>
    <t>IC RF TXRX+MCU BLUETOOTH WIFI</t>
  </si>
  <si>
    <t>2 NPN pre-biased (Dual) 150mW 100mA 50V SC-70-6(SOT-363) Digital Transistors ROHS</t>
  </si>
  <si>
    <t>IC ADC/AUDIO 24BIT 192K 30TSSOP</t>
  </si>
  <si>
    <t>IC FLASH 64MBIT SPI/QUAD 8SOIC</t>
  </si>
  <si>
    <t>IC DAC/AUDIO 24BIT 200K 16SSOP</t>
  </si>
  <si>
    <t>Amplifier IC 1-Channel (Mono) Class D 28-HTSSOP</t>
  </si>
  <si>
    <t>RF ANT 2.4GHZ STAMPED MET SLD</t>
  </si>
  <si>
    <t>IC PSRAM 64MBIT SPI 133MHZ 8SOIC</t>
  </si>
  <si>
    <t>40MHz SMD Crystal Resonator 15pF ±10ppm ±30ppm -40℃~+85℃ SMD3225-4P Crystals ROHS</t>
  </si>
  <si>
    <t>24.576MHz SMD Crystal Resonator 12pF 60Ω ±10ppm -40℃~+85℃ SMD3225-4P Crystals ROHS</t>
  </si>
  <si>
    <t>Footprint</t>
  </si>
  <si>
    <t>Cap0603</t>
  </si>
  <si>
    <t>VKMB1001E101MV</t>
  </si>
  <si>
    <t>VT1H471MI135000CE0</t>
  </si>
  <si>
    <t>Cap 0402</t>
  </si>
  <si>
    <t>Cap0402</t>
  </si>
  <si>
    <t>Cap 0603</t>
  </si>
  <si>
    <t>Cap Case-C</t>
  </si>
  <si>
    <t>SMA</t>
  </si>
  <si>
    <t>UDD32C03L01</t>
  </si>
  <si>
    <t>DFN1006-2L</t>
  </si>
  <si>
    <t>U.FL-R-SMT-1(80)</t>
  </si>
  <si>
    <t>HDR1X5</t>
  </si>
  <si>
    <t>DC-C024E-7A-1.65</t>
  </si>
  <si>
    <t>SLF12575T-221M1R3-PF</t>
  </si>
  <si>
    <t>YPRH1207-181M</t>
  </si>
  <si>
    <t>IND 0603</t>
  </si>
  <si>
    <t>SWPA5040S330MT</t>
  </si>
  <si>
    <t>ICS-40618</t>
  </si>
  <si>
    <t>HDR1X2</t>
  </si>
  <si>
    <t>HDR1X6</t>
  </si>
  <si>
    <t>TEST POINT</t>
  </si>
  <si>
    <t>Res0603</t>
  </si>
  <si>
    <t>Res0402</t>
  </si>
  <si>
    <t>Res1206</t>
  </si>
  <si>
    <t>Solder Bridge</t>
  </si>
  <si>
    <t>TS-1185EC-C-D-B</t>
  </si>
  <si>
    <t>SC-70-6</t>
  </si>
  <si>
    <t>SOIC-8</t>
  </si>
  <si>
    <t>MC33063ADRJR</t>
  </si>
  <si>
    <t>ESP32-D0WD-V3</t>
  </si>
  <si>
    <t>UMH3N</t>
  </si>
  <si>
    <t>PCM1865DBTR</t>
  </si>
  <si>
    <t>SOP-8_208mil</t>
  </si>
  <si>
    <t>16-SSOP</t>
  </si>
  <si>
    <t>28-HTSSOP</t>
  </si>
  <si>
    <t>PRO-OB-440</t>
  </si>
  <si>
    <t>X322540MPB4SI</t>
  </si>
  <si>
    <t>S3224576121060</t>
  </si>
  <si>
    <t>Manufacturer Part Number</t>
  </si>
  <si>
    <t>CC0603ZRY5V9BB104</t>
  </si>
  <si>
    <t>CC0603KRX7R9BB471</t>
  </si>
  <si>
    <t>CL05B152KB5NNNC</t>
  </si>
  <si>
    <t>CL10A106MA8NRNC</t>
  </si>
  <si>
    <t>04025A220FAT2A</t>
  </si>
  <si>
    <t>CC0603KRX7R8BB101</t>
  </si>
  <si>
    <t>CL10A475KA8NQNC</t>
  </si>
  <si>
    <t>CGA2B2X7R1H332M050BA</t>
  </si>
  <si>
    <t>CC0603KRX7R9BB103</t>
  </si>
  <si>
    <t>CL10A225KA8NNNC</t>
  </si>
  <si>
    <t>CC0603JRNPO9BN180</t>
  </si>
  <si>
    <t>T491C106K016AT</t>
  </si>
  <si>
    <t>CL10A474KB8NNNC</t>
  </si>
  <si>
    <t>CL10A105KA8NNNC</t>
  </si>
  <si>
    <t>CC0603CRNPO9BN2R7</t>
  </si>
  <si>
    <t>CC0603BRNPO9BN4R7</t>
  </si>
  <si>
    <t>CC0603JRNPO8BN102</t>
  </si>
  <si>
    <t>ESD5451N-2/TR</t>
  </si>
  <si>
    <t>3-644456-5</t>
  </si>
  <si>
    <t>FHW0603UC1N6KST</t>
  </si>
  <si>
    <t>BLM18PG121SN1D</t>
  </si>
  <si>
    <t>AC0603JR-0710KL</t>
  </si>
  <si>
    <t>RC0603FR-072KL</t>
  </si>
  <si>
    <t>WR06X122JTL</t>
  </si>
  <si>
    <t>RC0603FR-0719K1L</t>
  </si>
  <si>
    <t>PT0402FR-7W0R22L</t>
  </si>
  <si>
    <t>AC0603JR-072K2L</t>
  </si>
  <si>
    <t>RC0603FR-070RL</t>
  </si>
  <si>
    <t>RC0603FR-07499RL</t>
  </si>
  <si>
    <t>RT0603BRD07100KL</t>
  </si>
  <si>
    <t>RT0603BRD0722RL</t>
  </si>
  <si>
    <t>RT0603BRD078K2L</t>
  </si>
  <si>
    <t>RT1206FRD0710RL</t>
  </si>
  <si>
    <t>RT0603DRD071KL</t>
  </si>
  <si>
    <t>RC0603JR-074K7L</t>
  </si>
  <si>
    <t>MIC94062YC6-TR</t>
  </si>
  <si>
    <t>MC34063ADR</t>
  </si>
  <si>
    <t>W25Q64FVSSIQ</t>
  </si>
  <si>
    <t>PCM1754DBQR</t>
  </si>
  <si>
    <t>TPA3111D1PWPR</t>
  </si>
  <si>
    <t>Manufacturer</t>
  </si>
  <si>
    <t>Yageo</t>
  </si>
  <si>
    <t>Ymin</t>
  </si>
  <si>
    <t>Changzhou Huawei Elec</t>
  </si>
  <si>
    <t>Samsung</t>
  </si>
  <si>
    <t>Kyocera AVX</t>
  </si>
  <si>
    <t>TDK</t>
  </si>
  <si>
    <t>KEMET</t>
  </si>
  <si>
    <t>ROQANG</t>
  </si>
  <si>
    <t>Sams</t>
  </si>
  <si>
    <t>Yangzhou</t>
  </si>
  <si>
    <t>Brightking</t>
  </si>
  <si>
    <t>WILLSEMI</t>
  </si>
  <si>
    <t>Hirose</t>
  </si>
  <si>
    <t>TE Connectivity</t>
  </si>
  <si>
    <t>XKB Connectivity</t>
  </si>
  <si>
    <t>YJYCOIN</t>
  </si>
  <si>
    <t>Sunlord</t>
  </si>
  <si>
    <t>FH</t>
  </si>
  <si>
    <t>Murata</t>
  </si>
  <si>
    <t>TDK InvenSense</t>
  </si>
  <si>
    <t>Wurth Electronics</t>
  </si>
  <si>
    <t>RALEC</t>
  </si>
  <si>
    <t>Walsin Technologies</t>
  </si>
  <si>
    <t>Viking Tech</t>
  </si>
  <si>
    <t>XKB</t>
  </si>
  <si>
    <t>Microchip</t>
  </si>
  <si>
    <t>Texas Instruments</t>
  </si>
  <si>
    <t>Espressif Systems</t>
  </si>
  <si>
    <t>Changjiang</t>
  </si>
  <si>
    <t>Winbond</t>
  </si>
  <si>
    <t>Proant</t>
  </si>
  <si>
    <t>Adafruit Industries</t>
  </si>
  <si>
    <t>Yangxing Tech</t>
  </si>
  <si>
    <t>JGHC</t>
  </si>
  <si>
    <t>0.1uF</t>
  </si>
  <si>
    <t>100uF</t>
  </si>
  <si>
    <t>470uF</t>
  </si>
  <si>
    <t>470pF</t>
  </si>
  <si>
    <t>1500pF</t>
  </si>
  <si>
    <t>10uF</t>
  </si>
  <si>
    <t>1uF</t>
  </si>
  <si>
    <t>22PF</t>
  </si>
  <si>
    <t>100pF</t>
  </si>
  <si>
    <t>4.7uF</t>
  </si>
  <si>
    <t>3.3nF</t>
  </si>
  <si>
    <t>10nF</t>
  </si>
  <si>
    <t>2.2uF</t>
  </si>
  <si>
    <t>18pF</t>
  </si>
  <si>
    <t>0.47uF</t>
  </si>
  <si>
    <t>2.7pF</t>
  </si>
  <si>
    <t>4.7pF</t>
  </si>
  <si>
    <t>1nF</t>
  </si>
  <si>
    <t>SS24A</t>
  </si>
  <si>
    <t>220uH</t>
  </si>
  <si>
    <t>180uH</t>
  </si>
  <si>
    <t>2nH</t>
  </si>
  <si>
    <t>33uH</t>
  </si>
  <si>
    <t>1.6nH</t>
  </si>
  <si>
    <t>10K</t>
  </si>
  <si>
    <t>0.33R</t>
  </si>
  <si>
    <t>2K</t>
  </si>
  <si>
    <t>1.2K</t>
  </si>
  <si>
    <t>180R</t>
  </si>
  <si>
    <t>19K1</t>
  </si>
  <si>
    <t>0.22R</t>
  </si>
  <si>
    <t>2K2</t>
  </si>
  <si>
    <t>0R</t>
  </si>
  <si>
    <t>499R</t>
  </si>
  <si>
    <t>20K</t>
  </si>
  <si>
    <t>100K</t>
  </si>
  <si>
    <t>22R</t>
  </si>
  <si>
    <t>8K2</t>
  </si>
  <si>
    <t>10R</t>
  </si>
  <si>
    <t>1K</t>
  </si>
  <si>
    <t>4.7K</t>
  </si>
  <si>
    <t>40MHz</t>
  </si>
  <si>
    <t>24.576MHz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</si>
  <si>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</si>
  <si>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</si>
  <si>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</si>
  <si>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</si>
  <si>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</si>
  <si>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</si>
  <si>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</si>
  <si>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</si>
  <si>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</si>
  <si>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</si>
  <si>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</si>
  <si>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RVT1E100M0405</t>
  </si>
  <si>
    <t>Custom</t>
  </si>
  <si>
    <t>Diode</t>
  </si>
  <si>
    <t>-</t>
  </si>
  <si>
    <t>Value</t>
  </si>
  <si>
    <t>Capacitor</t>
  </si>
  <si>
    <t>C69335</t>
  </si>
  <si>
    <t>LCSC</t>
  </si>
  <si>
    <t>C239604</t>
  </si>
  <si>
    <t>C88374</t>
  </si>
  <si>
    <t>C397335</t>
  </si>
  <si>
    <t>C140867</t>
  </si>
  <si>
    <t>C122538</t>
  </si>
  <si>
    <t>C106221</t>
  </si>
  <si>
    <t>C487322</t>
  </si>
  <si>
    <t>C191227</t>
  </si>
  <si>
    <t>C107092</t>
  </si>
  <si>
    <t>C23967</t>
  </si>
  <si>
    <t>C96446</t>
  </si>
  <si>
    <t>C519410</t>
  </si>
  <si>
    <t>C100042</t>
  </si>
  <si>
    <t>C57895</t>
  </si>
  <si>
    <t>C107040</t>
  </si>
  <si>
    <t>C118753</t>
  </si>
  <si>
    <t>C970655</t>
  </si>
  <si>
    <t>C5673</t>
  </si>
  <si>
    <t>C282247</t>
  </si>
  <si>
    <t>C327022</t>
  </si>
  <si>
    <t>C93225</t>
  </si>
  <si>
    <t>C339953</t>
  </si>
  <si>
    <t>C86618</t>
  </si>
  <si>
    <t>C317978</t>
  </si>
  <si>
    <t>C14709</t>
  </si>
  <si>
    <t>C105576</t>
  </si>
  <si>
    <t>C168366</t>
  </si>
  <si>
    <t>C173754</t>
  </si>
  <si>
    <t>C724005</t>
  </si>
  <si>
    <t>C228168</t>
  </si>
  <si>
    <t>C100044</t>
  </si>
  <si>
    <t>C137714</t>
  </si>
  <si>
    <t>C861589</t>
  </si>
  <si>
    <t>C326706</t>
  </si>
  <si>
    <t>C165964</t>
  </si>
  <si>
    <t>C105428</t>
  </si>
  <si>
    <t>C318893</t>
  </si>
  <si>
    <t>C496120</t>
  </si>
  <si>
    <t>C967021</t>
  </si>
  <si>
    <t>C62892</t>
  </si>
  <si>
    <t>C181312</t>
  </si>
  <si>
    <t>C2943203</t>
  </si>
  <si>
    <t>C294211</t>
  </si>
  <si>
    <t>C114457</t>
  </si>
  <si>
    <t>C9010</t>
  </si>
  <si>
    <t>C390772</t>
  </si>
  <si>
    <t>C842786</t>
  </si>
  <si>
    <t>C5180209</t>
  </si>
  <si>
    <t>SOD-323</t>
  </si>
  <si>
    <t>RTT03R330FTP</t>
  </si>
  <si>
    <t>PZ254V-11-02P</t>
  </si>
  <si>
    <t>C492401</t>
  </si>
  <si>
    <t>DZ254R-11-06-63</t>
  </si>
  <si>
    <t>C2935912</t>
  </si>
  <si>
    <t>C103893</t>
  </si>
  <si>
    <t>AR02BTC1800</t>
  </si>
  <si>
    <t>C317910</t>
  </si>
  <si>
    <t>RC0603FR-0720KL</t>
  </si>
  <si>
    <t>C105575</t>
  </si>
  <si>
    <t>C100023</t>
  </si>
  <si>
    <t>LCSC Stock= 10</t>
  </si>
  <si>
    <t>LCSC Stock= 37</t>
  </si>
  <si>
    <t>C106203</t>
  </si>
  <si>
    <t>C513448</t>
  </si>
  <si>
    <t>V332K0402X7R500NBT</t>
  </si>
  <si>
    <t>0603B102K250CT</t>
  </si>
  <si>
    <t>C163170</t>
  </si>
  <si>
    <t>C2935911</t>
  </si>
  <si>
    <t>SDCL1608C2N0STDF</t>
  </si>
  <si>
    <t xml:space="preserve">Sunlord </t>
  </si>
  <si>
    <t>C370234</t>
  </si>
  <si>
    <t>ARG03FTC0220</t>
  </si>
  <si>
    <t>C217888</t>
  </si>
  <si>
    <t>8-SON</t>
  </si>
  <si>
    <t>30-TSSOP</t>
  </si>
  <si>
    <t>C515510</t>
  </si>
  <si>
    <t>LCSC Stock= 3</t>
  </si>
  <si>
    <t>Connector</t>
  </si>
  <si>
    <t>Header</t>
  </si>
  <si>
    <t>Inductor</t>
  </si>
  <si>
    <t>MicroPhone</t>
  </si>
  <si>
    <t>Test Point</t>
  </si>
  <si>
    <t>Resistor</t>
  </si>
  <si>
    <t>Switch</t>
  </si>
  <si>
    <t>IC</t>
  </si>
  <si>
    <t>Crystal</t>
  </si>
  <si>
    <t>Bill of Materials for Project [Node_Design]</t>
  </si>
  <si>
    <t>[Node_Design]</t>
  </si>
  <si>
    <t xml:space="preserve">Total Component Cost </t>
  </si>
  <si>
    <t>Single Board Cost</t>
  </si>
  <si>
    <t>C1, C2, C11, C13, C17, C18, C23, C35, C37, C48, C49, C50, C51</t>
  </si>
  <si>
    <t>C10, C12, C32, C36, C43, C44, C45, C54, C55, C58, C63, C64, C66</t>
  </si>
  <si>
    <t>C52, C56, C59, C61, C62, C65</t>
  </si>
  <si>
    <t>0603F474M500NT</t>
  </si>
  <si>
    <t>C1704</t>
  </si>
  <si>
    <t>DZ254R-11-05-63</t>
  </si>
  <si>
    <t xml:space="preserve">Custom Supplier </t>
  </si>
  <si>
    <t>Karen Quote</t>
  </si>
  <si>
    <t>LY68L6400SLIT</t>
  </si>
  <si>
    <t>C261881</t>
  </si>
  <si>
    <t>R20,R30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</si>
</sst>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5" fillId="4" borderId="19" xfId="0" applyFont="1" applyFill="1" applyBorder="1" applyAlignment="1">
      <alignment horizontal="center" vertical="center" wrapText="1"/>
    </xf>
    <xf numFmtId="0" fontId="26" fillId="2" borderId="19" xfId="0" applyFont="1" applyFill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Ferrite-Beads_Murata-Electronics-BLM18PG121SN1D_C14709.html" TargetMode="External"/><Relationship Id="rId21" Type="http://schemas.openxmlformats.org/officeDocument/2006/relationships/hyperlink" Target="https://lcsc.com/product-detail/ESD-Protection-Devices_ElecSuper-UDD32C03L01_C5180209.html" TargetMode="External"/><Relationship Id="rId34" Type="http://schemas.openxmlformats.org/officeDocument/2006/relationships/hyperlink" Target="https://lcsc.com/product-detail/Chip-Resistor-Surface-Mount_YAGEO-PT0402FR-7W0R22L_C724005.html" TargetMode="External"/><Relationship Id="rId42" Type="http://schemas.openxmlformats.org/officeDocument/2006/relationships/hyperlink" Target="https://lcsc.com/product-detail/Chip-Resistor-Surface-Mount_YAGEO-RC0603JR-074K7L_C105428.html" TargetMode="External"/><Relationship Id="rId47" Type="http://schemas.openxmlformats.org/officeDocument/2006/relationships/hyperlink" Target="https://lcsc.com/product-detail/Digital-Transistors_Jiangsu-Changjing-Electronics-Technology-Co-Ltd-UMH3N_C62892.html" TargetMode="External"/><Relationship Id="rId50" Type="http://schemas.openxmlformats.org/officeDocument/2006/relationships/hyperlink" Target="https://lcsc.com/product-detail/Digital-To-Analog-Converters-DACs_Texas-Instruments-PCM1754DBQR_C294211.html" TargetMode="External"/><Relationship Id="rId55" Type="http://schemas.openxmlformats.org/officeDocument/2006/relationships/hyperlink" Target="https://lcsc.com/product-detail/Aluminum-Electrolytic-Capacitors-SMD_Changzhou-Huawei-Elec-VT1H471MI135000CE0_C191227.html" TargetMode="External"/><Relationship Id="rId63" Type="http://schemas.openxmlformats.org/officeDocument/2006/relationships/hyperlink" Target="https://www.lcsc.com/product-detail/Multilayer-Ceramic-Capacitors-MLCC-SMD-SMT_FH-Guangdong-Fenghua-Advanced-Tech-0603F474M500NT_C1704.html" TargetMode="External"/><Relationship Id="rId7" Type="http://schemas.openxmlformats.org/officeDocument/2006/relationships/hyperlink" Target="https://www.lcsc.com/product-detail/Multilayer-Ceramic-Capacitors-MLCC-SMD-SMT_YAGEO-CC0603ZRY5V9BB104_C106221.html" TargetMode="External"/><Relationship Id="rId2" Type="http://schemas.openxmlformats.org/officeDocument/2006/relationships/hyperlink" Target="https://lcsc.com/product-detail/ESD-Protection-Devices_WILLSEMI-Will-Semicon-ESD5451N-2-TR_C239604.html" TargetMode="External"/><Relationship Id="rId16" Type="http://schemas.openxmlformats.org/officeDocument/2006/relationships/hyperlink" Target="https://lcsc.com/product-detail/Aluminum-Electrolytic-Capacitors-SMD_DMBJ-RVT1E100M0405_C970655.html" TargetMode="External"/><Relationship Id="rId29" Type="http://schemas.openxmlformats.org/officeDocument/2006/relationships/hyperlink" Target="https://lcsc.com/product-detail/Chip-Resistor-Surface-Mount_RALEC-RTT03R330FTP_C103893.html" TargetMode="External"/><Relationship Id="rId11" Type="http://schemas.openxmlformats.org/officeDocument/2006/relationships/hyperlink" Target="https://lcsc.com/product-detail/Multilayer-Ceramic-Capacitors-MLCC-SMD-SMT_YAGEO-CC0603KRX7R8BB101_C519410.html" TargetMode="External"/><Relationship Id="rId24" Type="http://schemas.openxmlformats.org/officeDocument/2006/relationships/hyperlink" Target="https://lcsc.com/product-detail/Power-Inductors_Sunlord-SWPA5040S330MT_C86618.html" TargetMode="External"/><Relationship Id="rId32" Type="http://schemas.openxmlformats.org/officeDocument/2006/relationships/hyperlink" Target="https://lcsc.com/product-detail/Chip-Resistor-Surface-Mount_Viking-Tech-AR02BTC1800_C317910.html" TargetMode="External"/><Relationship Id="rId37" Type="http://schemas.openxmlformats.org/officeDocument/2006/relationships/hyperlink" Target="https://lcsc.com/product-detail/Chip-Resistor-Surface-Mount_YAGEO-RC0603FR-07499RL_C137714.html" TargetMode="External"/><Relationship Id="rId40" Type="http://schemas.openxmlformats.org/officeDocument/2006/relationships/hyperlink" Target="https://lcsc.com/product-detail/Chip-Resistor-Surface-Mount_YAGEO-RT1206FRD0710RL_C326706.html" TargetMode="External"/><Relationship Id="rId45" Type="http://schemas.openxmlformats.org/officeDocument/2006/relationships/hyperlink" Target="https://lcsc.com/product-detail/DC-DC-Converters_Texas-Instruments-MC33063ADRJR_C496120.html" TargetMode="External"/><Relationship Id="rId53" Type="http://schemas.openxmlformats.org/officeDocument/2006/relationships/hyperlink" Target="https://lcsc.com/product-detail/Crystals_Yangxing-Tech-X322540MPB4SI_C9010.html" TargetMode="External"/><Relationship Id="rId58" Type="http://schemas.openxmlformats.org/officeDocument/2006/relationships/hyperlink" Target="https://lcsc.com/product-detail/Multilayer-Ceramic-Capacitors-MLCC-SMD-SMT_Walsin-Tech-Corp-0603B102K250CT_C163170.html" TargetMode="External"/><Relationship Id="rId5" Type="http://schemas.openxmlformats.org/officeDocument/2006/relationships/hyperlink" Target="https://www.lcsc.com/product-detail/Chip-Resistor-Surface-Mount_YAGEO-AC0603JR-0710KL_C140867.html" TargetMode="External"/><Relationship Id="rId61" Type="http://schemas.openxmlformats.org/officeDocument/2006/relationships/hyperlink" Target="https://lcsc.com/product-detail/Chip-span-style-background-color-ff0-Resistor-span-Surface-Mount_Viking-Tech-ARG03FTC0220_C217888.html" TargetMode="External"/><Relationship Id="rId19" Type="http://schemas.openxmlformats.org/officeDocument/2006/relationships/hyperlink" Target="https://lcsc.com/product-detail/Multilayer-Ceramic-Capacitors-MLCC-SMD-SMT_YAGEO-CC0603BRNPO9BN4R7_C327022.html" TargetMode="External"/><Relationship Id="rId14" Type="http://schemas.openxmlformats.org/officeDocument/2006/relationships/hyperlink" Target="https://lcsc.com/product-detail/Multilayer-Ceramic-Capacitors-MLCC-SMD-SMT_YAGEO-CC0603JRNPO9BN180_C107040.html" TargetMode="External"/><Relationship Id="rId22" Type="http://schemas.openxmlformats.org/officeDocument/2006/relationships/hyperlink" Target="https://lcsc.com/product-detail/Power-Inductors_TDK-SLF12575T-221M1R3-PF_C93225.html" TargetMode="External"/><Relationship Id="rId27" Type="http://schemas.openxmlformats.org/officeDocument/2006/relationships/hyperlink" Target="https://lcsc.com/product-detail/span-style-background-color-ff0-Pin-span-Headers_XFCN-PZ254V-11-02P_C492401.html" TargetMode="External"/><Relationship Id="rId30" Type="http://schemas.openxmlformats.org/officeDocument/2006/relationships/hyperlink" Target="https://lcsc.com/product-detail/Chip-Resistor-Surface-Mount_YAGEO-RC0603FR-072KL_C105576.html" TargetMode="External"/><Relationship Id="rId35" Type="http://schemas.openxmlformats.org/officeDocument/2006/relationships/hyperlink" Target="https://lcsc.com/product-detail/Chip-Resistor-Surface-Mount_YAGEO-AC0603JR-072K2L_C228168.html" TargetMode="External"/><Relationship Id="rId43" Type="http://schemas.openxmlformats.org/officeDocument/2006/relationships/hyperlink" Target="https://lcsc.com/product-detail/Tactile-Switches_XKB-Connectivity-TS-1185EC-C-D-B_C318893.html" TargetMode="External"/><Relationship Id="rId48" Type="http://schemas.openxmlformats.org/officeDocument/2006/relationships/hyperlink" Target="https://lcsc.com/product-detail/Analog-Front-End-AFEs_Texas-Instruments-PCM1865DBTR_C181312.html" TargetMode="External"/><Relationship Id="rId56" Type="http://schemas.openxmlformats.org/officeDocument/2006/relationships/hyperlink" Target="https://lcsc.com/product-detail/Multilayer-Ceramic-Capacitors-MLCC-SMD-SMT_YAGEO-CC0402JRNPO9BN220_C106203.html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YAGEO-CC0603KRX7R9BB471_C107092.html" TargetMode="External"/><Relationship Id="rId51" Type="http://schemas.openxmlformats.org/officeDocument/2006/relationships/hyperlink" Target="https://lcsc.com/product-detail/Audio-Power-OpAmps_Texas-Instruments-TPA3111D1PWPR_C114457.html" TargetMode="External"/><Relationship Id="rId3" Type="http://schemas.openxmlformats.org/officeDocument/2006/relationships/hyperlink" Target="https://www.lcsc.com/product-detail/AC-DC-Power-Connectors_XKB-Connectivity-DC-C024E-7A-1-65_C397335.html" TargetMode="External"/><Relationship Id="rId12" Type="http://schemas.openxmlformats.org/officeDocument/2006/relationships/hyperlink" Target="https://lcsc.com/product-detail/Multilayer-Ceramic-Capacitors-MLCC-SMD-SMT_YAGEO-CC0603KRX7R9BB103_C100042.html" TargetMode="External"/><Relationship Id="rId17" Type="http://schemas.openxmlformats.org/officeDocument/2006/relationships/hyperlink" Target="https://lcsc.com/product-detail/Multilayer-Ceramic-Capacitors-MLCC-SMD-SMT_Samsung-Electro-Mechanics-CL10A105KA8NNNC_C5673.html" TargetMode="External"/><Relationship Id="rId25" Type="http://schemas.openxmlformats.org/officeDocument/2006/relationships/hyperlink" Target="https://lcsc.com/product-detail/Inductors-SMD_FH-Guangdong-Fenghua-Advanced-Tech-FHW0603UC1N6KST_C317978.html" TargetMode="External"/><Relationship Id="rId33" Type="http://schemas.openxmlformats.org/officeDocument/2006/relationships/hyperlink" Target="https://lcsc.com/product-detail/Chip-Resistor-Surface-Mount_YAGEO-RC0603FR-0719K1L_C173754.html" TargetMode="External"/><Relationship Id="rId38" Type="http://schemas.openxmlformats.org/officeDocument/2006/relationships/hyperlink" Target="https://lcsc.com/product-detail/Chip-Resistor-Surface-Mount_YAGEO-RC0603FR-0720KL_C105575.html" TargetMode="External"/><Relationship Id="rId46" Type="http://schemas.openxmlformats.org/officeDocument/2006/relationships/hyperlink" Target="https://lcsc.com/product-detail/RF-Transceiver-ICs_Espressif-Systems-ESP32-D0WD-V3_C967021.html" TargetMode="External"/><Relationship Id="rId59" Type="http://schemas.openxmlformats.org/officeDocument/2006/relationships/hyperlink" Target="https://lcsc.com/product-detail/Pin-Headers_DEALON-DZ254R-11-05-63_C2935911.html" TargetMode="External"/><Relationship Id="rId20" Type="http://schemas.openxmlformats.org/officeDocument/2006/relationships/hyperlink" Target="https://lcsc.com/product-detail/Schottky-Barrier-Diodes-SBD_FUXINSEMI-SS24A_C842786.html" TargetMode="External"/><Relationship Id="rId41" Type="http://schemas.openxmlformats.org/officeDocument/2006/relationships/hyperlink" Target="https://lcsc.com/product-detail/Chip-Resistor-Surface-Mount_YAGEO-RT0603DRD071KL_C165964.html" TargetMode="External"/><Relationship Id="rId54" Type="http://schemas.openxmlformats.org/officeDocument/2006/relationships/hyperlink" Target="https://lcsc.com/product-detail/Aluminum-Electrolytic-Capacitors-SMD_Ymin-VKMB1001E101MV_C487322.html" TargetMode="External"/><Relationship Id="rId62" Type="http://schemas.openxmlformats.org/officeDocument/2006/relationships/hyperlink" Target="https://lcsc.com/product-detail/Power-Distribution-Switches_Microchip-Tech-MIC94062YC6-TR_C515510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Chip-Resistor-Surface-Mount_YAGEO-RT0603BRD07100KL_C122538.html" TargetMode="External"/><Relationship Id="rId15" Type="http://schemas.openxmlformats.org/officeDocument/2006/relationships/hyperlink" Target="https://lcsc.com/product-detail/Tantalum-Capacitors_KEMET-T491C106K016AT_C118753.html" TargetMode="External"/><Relationship Id="rId23" Type="http://schemas.openxmlformats.org/officeDocument/2006/relationships/hyperlink" Target="https://lcsc.com/product-detail/Power-Inductors_YJYCOIN-YPRH1207-181M_C339953.html" TargetMode="External"/><Relationship Id="rId28" Type="http://schemas.openxmlformats.org/officeDocument/2006/relationships/hyperlink" Target="https://lcsc.com/product-detail/span-style-background-color-ff0-Pin-span-Headers_DEALON-DZ254R-11-06-63_C2935912.html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49" Type="http://schemas.openxmlformats.org/officeDocument/2006/relationships/hyperlink" Target="https://lcsc.com/product-detail/NOR-FLASH_Winbond-Elec-W25Q64FVSSIQ_C2943203.html" TargetMode="External"/><Relationship Id="rId57" Type="http://schemas.openxmlformats.org/officeDocument/2006/relationships/hyperlink" Target="https://lcsc.com/product-detail/Multilayer-Ceramic-Capacitors-MLCC-SMD-SMT_VIIYONG-V332K0402X7R500NBT_C513448.html" TargetMode="External"/><Relationship Id="rId10" Type="http://schemas.openxmlformats.org/officeDocument/2006/relationships/hyperlink" Target="https://lcsc.com/product-detail/Multilayer-Ceramic-Capacitors-MLCC-SMD-SMT_Samsung-Electro-Mechanics-CL10A106MA8NRNC_C96446.html" TargetMode="External"/><Relationship Id="rId31" Type="http://schemas.openxmlformats.org/officeDocument/2006/relationships/hyperlink" Target="https://lcsc.com/product-detail/Chip-Resistor-Surface-Mount_Walsin-Tech-Corp-WR06X122JTL_C168366.html" TargetMode="External"/><Relationship Id="rId44" Type="http://schemas.openxmlformats.org/officeDocument/2006/relationships/hyperlink" Target="https://lcsc.com/product-detail/DC-DC-Converters_Texas-Instruments-MC34063ADR_C100023.html" TargetMode="External"/><Relationship Id="rId52" Type="http://schemas.openxmlformats.org/officeDocument/2006/relationships/hyperlink" Target="https://lcsc.com/product-detail/Crystals_JGHC-S3224576121060_C390772.html" TargetMode="External"/><Relationship Id="rId60" Type="http://schemas.openxmlformats.org/officeDocument/2006/relationships/hyperlink" Target="https://lcsc.com/product-detail/Inductors-SMD_Sunlord-SDCL1608C2N0STDF_C370234.html" TargetMode="External"/><Relationship Id="rId65" Type="http://schemas.openxmlformats.org/officeDocument/2006/relationships/drawing" Target="../drawings/drawing1.xml"/><Relationship Id="rId4" Type="http://schemas.openxmlformats.org/officeDocument/2006/relationships/hyperlink" Target="https://www.lcsc.com/product-detail/RF-Connectors-Coaxial-Connectors_HRS-Hirose-U-FL-R-SMT-1-80_C88374.html" TargetMode="External"/><Relationship Id="rId9" Type="http://schemas.openxmlformats.org/officeDocument/2006/relationships/hyperlink" Target="https://lcsc.com/product-detail/Multilayer-Ceramic-Capacitors-MLCC-SMD-SMT_Samsung-Electro-Mechanics-CL05B152KB5NNNC_C23967.html" TargetMode="External"/><Relationship Id="rId13" Type="http://schemas.openxmlformats.org/officeDocument/2006/relationships/hyperlink" Target="https://lcsc.com/product-detail/Multilayer-Ceramic-Capacitors-MLCC-SMD-SMT_Samsung-Electro-Mechanics-CL10A225KA8NNNC_C57895.html" TargetMode="External"/><Relationship Id="rId18" Type="http://schemas.openxmlformats.org/officeDocument/2006/relationships/hyperlink" Target="https://lcsc.com/product-detail/Multilayer-Ceramic-Capacitors-MLCC-SMD-SMT_YAGEO-CC0603CRNPO9BN2R7_C282247.html" TargetMode="External"/><Relationship Id="rId39" Type="http://schemas.openxmlformats.org/officeDocument/2006/relationships/hyperlink" Target="https://lcsc.com/product-detail/Chip-Resistor-Surface-Mount_YAGEO-RT0603BRD078K2L_C8615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79"/>
  <sheetViews>
    <sheetView tabSelected="1" topLeftCell="A39" workbookViewId="0">
      <selection activeCell="D65" sqref="D6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8.140625" customWidth="1"/>
    <col min="5" max="5" width="30.85546875" customWidth="1"/>
    <col min="6" max="6" width="19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140625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8"/>
      <c r="L1" s="78"/>
      <c r="M1" s="78"/>
      <c r="N1" s="78"/>
      <c r="O1" s="78"/>
      <c r="P1" s="78"/>
      <c r="Q1" s="78"/>
      <c r="R1" s="78"/>
      <c r="S1" s="79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403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404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0"/>
    </row>
    <row r="4" spans="1:19" x14ac:dyDescent="0.25">
      <c r="A4" s="1"/>
      <c r="B4" s="22"/>
      <c r="C4" s="40"/>
      <c r="D4" s="13" t="s">
        <v>2</v>
      </c>
      <c r="E4" s="13"/>
      <c r="F4" s="57" t="s">
        <v>404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1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1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1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1"/>
    </row>
    <row r="9" spans="1:19" ht="15.75" thickBot="1" x14ac:dyDescent="0.3">
      <c r="A9" s="1"/>
      <c r="B9" s="30" t="s">
        <v>4</v>
      </c>
      <c r="C9" s="30" t="s">
        <v>299</v>
      </c>
      <c r="D9" s="30" t="s">
        <v>6</v>
      </c>
      <c r="E9" s="31" t="s">
        <v>71</v>
      </c>
      <c r="F9" s="30" t="s">
        <v>140</v>
      </c>
      <c r="G9" s="31" t="s">
        <v>179</v>
      </c>
      <c r="H9" s="30" t="s">
        <v>220</v>
      </c>
      <c r="I9" s="30" t="s">
        <v>300</v>
      </c>
      <c r="J9" s="30" t="s">
        <v>301</v>
      </c>
      <c r="K9" s="30" t="s">
        <v>313</v>
      </c>
      <c r="L9" s="31" t="s">
        <v>298</v>
      </c>
      <c r="M9" s="30" t="s">
        <v>302</v>
      </c>
      <c r="N9" s="30" t="s">
        <v>303</v>
      </c>
      <c r="O9" s="30" t="s">
        <v>304</v>
      </c>
      <c r="P9" s="30" t="s">
        <v>305</v>
      </c>
      <c r="Q9" s="30" t="s">
        <v>306</v>
      </c>
      <c r="R9" s="32" t="s">
        <v>307</v>
      </c>
      <c r="S9" s="32" t="s">
        <v>308</v>
      </c>
    </row>
    <row r="10" spans="1:19" ht="24.75" thickBot="1" x14ac:dyDescent="0.3">
      <c r="A10" s="1"/>
      <c r="B10" s="38">
        <f>ROW(B10) - ROW($B$9)</f>
        <v>1</v>
      </c>
      <c r="C10" s="60" t="s">
        <v>314</v>
      </c>
      <c r="D10" s="46" t="s">
        <v>407</v>
      </c>
      <c r="E10" s="47" t="s">
        <v>72</v>
      </c>
      <c r="F10" s="46" t="s">
        <v>141</v>
      </c>
      <c r="G10" s="47" t="s">
        <v>180</v>
      </c>
      <c r="H10" s="46" t="s">
        <v>221</v>
      </c>
      <c r="I10" s="46" t="s">
        <v>312</v>
      </c>
      <c r="J10" s="46" t="s">
        <v>322</v>
      </c>
      <c r="K10" s="46" t="s">
        <v>255</v>
      </c>
      <c r="L10" s="47">
        <v>13</v>
      </c>
      <c r="M10" s="61">
        <f>L10*10</f>
        <v>130</v>
      </c>
      <c r="N10" s="46">
        <v>200</v>
      </c>
      <c r="O10" s="62" t="s">
        <v>316</v>
      </c>
      <c r="P10" s="53">
        <v>2.8999999999999998E-3</v>
      </c>
      <c r="Q10" s="53">
        <f>P10*N10</f>
        <v>0.57999999999999996</v>
      </c>
      <c r="R10" s="48"/>
      <c r="S10" s="49"/>
    </row>
    <row r="11" spans="1:19" ht="36.75" thickBot="1" x14ac:dyDescent="0.3">
      <c r="A11" s="1"/>
      <c r="B11" s="38">
        <f t="shared" ref="B11:B77" si="0">ROW(B11) - ROW($B$9)</f>
        <v>2</v>
      </c>
      <c r="C11" s="59" t="s">
        <v>314</v>
      </c>
      <c r="D11" s="50" t="s">
        <v>7</v>
      </c>
      <c r="E11" s="51" t="s">
        <v>73</v>
      </c>
      <c r="F11" s="50" t="s">
        <v>310</v>
      </c>
      <c r="G11" s="50" t="s">
        <v>142</v>
      </c>
      <c r="H11" s="50" t="s">
        <v>222</v>
      </c>
      <c r="I11" s="50" t="s">
        <v>312</v>
      </c>
      <c r="J11" s="50" t="s">
        <v>323</v>
      </c>
      <c r="K11" s="50" t="s">
        <v>256</v>
      </c>
      <c r="L11" s="51">
        <v>4</v>
      </c>
      <c r="M11" s="50">
        <f t="shared" ref="M11:M68" si="1">L11*10</f>
        <v>40</v>
      </c>
      <c r="N11" s="50">
        <v>50</v>
      </c>
      <c r="O11" s="63" t="s">
        <v>316</v>
      </c>
      <c r="P11" s="54">
        <v>8.8599999999999998E-2</v>
      </c>
      <c r="Q11" s="54">
        <f t="shared" ref="Q11:Q68" si="2">P11*N11</f>
        <v>4.43</v>
      </c>
      <c r="R11" s="64" t="s">
        <v>377</v>
      </c>
      <c r="S11" s="52"/>
    </row>
    <row r="12" spans="1:19" ht="48.75" thickBot="1" x14ac:dyDescent="0.3">
      <c r="A12" s="1"/>
      <c r="B12" s="38">
        <f>ROW(B12) - ROW($B$9)</f>
        <v>3</v>
      </c>
      <c r="C12" s="60" t="s">
        <v>314</v>
      </c>
      <c r="D12" s="46" t="s">
        <v>8</v>
      </c>
      <c r="E12" s="47" t="s">
        <v>74</v>
      </c>
      <c r="F12" s="46" t="s">
        <v>310</v>
      </c>
      <c r="G12" s="46" t="s">
        <v>143</v>
      </c>
      <c r="H12" s="46" t="s">
        <v>223</v>
      </c>
      <c r="I12" s="46" t="s">
        <v>312</v>
      </c>
      <c r="J12" s="46" t="s">
        <v>324</v>
      </c>
      <c r="K12" s="46" t="s">
        <v>257</v>
      </c>
      <c r="L12" s="47">
        <v>2</v>
      </c>
      <c r="M12" s="46">
        <f t="shared" si="1"/>
        <v>20</v>
      </c>
      <c r="N12" s="46">
        <v>22</v>
      </c>
      <c r="O12" s="62" t="s">
        <v>316</v>
      </c>
      <c r="P12" s="53">
        <v>0.48549999999999999</v>
      </c>
      <c r="Q12" s="53">
        <f t="shared" si="2"/>
        <v>10.680999999999999</v>
      </c>
      <c r="R12" s="65" t="s">
        <v>378</v>
      </c>
      <c r="S12" s="48"/>
    </row>
    <row r="13" spans="1:19" ht="15.75" thickBot="1" x14ac:dyDescent="0.3">
      <c r="A13" s="1"/>
      <c r="B13" s="38">
        <f t="shared" si="0"/>
        <v>4</v>
      </c>
      <c r="C13" s="59" t="s">
        <v>314</v>
      </c>
      <c r="D13" s="50" t="s">
        <v>9</v>
      </c>
      <c r="E13" s="51" t="s">
        <v>75</v>
      </c>
      <c r="F13" s="50" t="s">
        <v>141</v>
      </c>
      <c r="G13" s="50" t="s">
        <v>181</v>
      </c>
      <c r="H13" s="50" t="s">
        <v>221</v>
      </c>
      <c r="I13" s="50" t="s">
        <v>312</v>
      </c>
      <c r="J13" s="50" t="s">
        <v>325</v>
      </c>
      <c r="K13" s="50" t="s">
        <v>258</v>
      </c>
      <c r="L13" s="51">
        <v>1</v>
      </c>
      <c r="M13" s="50">
        <f t="shared" si="1"/>
        <v>10</v>
      </c>
      <c r="N13" s="50">
        <v>100</v>
      </c>
      <c r="O13" s="63" t="s">
        <v>316</v>
      </c>
      <c r="P13" s="54">
        <v>2.5000000000000001E-3</v>
      </c>
      <c r="Q13" s="54">
        <f t="shared" si="2"/>
        <v>0.25</v>
      </c>
      <c r="R13" s="64"/>
      <c r="S13" s="52"/>
    </row>
    <row r="14" spans="1:19" ht="15.75" thickBot="1" x14ac:dyDescent="0.3">
      <c r="A14" s="1"/>
      <c r="B14" s="38">
        <f>ROW(B14) - ROW($B$9)</f>
        <v>5</v>
      </c>
      <c r="C14" s="60" t="s">
        <v>314</v>
      </c>
      <c r="D14" s="46" t="s">
        <v>10</v>
      </c>
      <c r="E14" s="47" t="s">
        <v>76</v>
      </c>
      <c r="F14" s="46" t="s">
        <v>144</v>
      </c>
      <c r="G14" s="46" t="s">
        <v>182</v>
      </c>
      <c r="H14" s="46" t="s">
        <v>224</v>
      </c>
      <c r="I14" s="46" t="s">
        <v>312</v>
      </c>
      <c r="J14" s="46" t="s">
        <v>326</v>
      </c>
      <c r="K14" s="46" t="s">
        <v>259</v>
      </c>
      <c r="L14" s="47">
        <v>1</v>
      </c>
      <c r="M14" s="46">
        <f t="shared" si="1"/>
        <v>10</v>
      </c>
      <c r="N14" s="46">
        <v>100</v>
      </c>
      <c r="O14" s="62" t="s">
        <v>316</v>
      </c>
      <c r="P14" s="53">
        <v>3.0999999999999999E-3</v>
      </c>
      <c r="Q14" s="53">
        <f t="shared" si="2"/>
        <v>0.31</v>
      </c>
      <c r="R14" s="65"/>
      <c r="S14" s="48"/>
    </row>
    <row r="15" spans="1:19" ht="15.75" thickBot="1" x14ac:dyDescent="0.3">
      <c r="A15" s="1"/>
      <c r="B15" s="38">
        <f t="shared" si="0"/>
        <v>6</v>
      </c>
      <c r="C15" s="59" t="s">
        <v>314</v>
      </c>
      <c r="D15" s="50" t="s">
        <v>11</v>
      </c>
      <c r="E15" s="51" t="s">
        <v>77</v>
      </c>
      <c r="F15" s="50" t="s">
        <v>141</v>
      </c>
      <c r="G15" s="50" t="s">
        <v>183</v>
      </c>
      <c r="H15" s="50" t="s">
        <v>224</v>
      </c>
      <c r="I15" s="50" t="s">
        <v>312</v>
      </c>
      <c r="J15" s="50" t="s">
        <v>327</v>
      </c>
      <c r="K15" s="50" t="s">
        <v>260</v>
      </c>
      <c r="L15" s="51">
        <v>2</v>
      </c>
      <c r="M15" s="50">
        <f t="shared" si="1"/>
        <v>20</v>
      </c>
      <c r="N15" s="50">
        <v>40</v>
      </c>
      <c r="O15" s="63" t="s">
        <v>316</v>
      </c>
      <c r="P15" s="54">
        <v>1.4200000000000001E-2</v>
      </c>
      <c r="Q15" s="54">
        <f t="shared" si="2"/>
        <v>0.56800000000000006</v>
      </c>
      <c r="R15" s="64"/>
      <c r="S15" s="52"/>
    </row>
    <row r="16" spans="1:19" ht="15.75" thickBot="1" x14ac:dyDescent="0.3">
      <c r="A16" s="1"/>
      <c r="B16" s="38">
        <f>ROW(B16) - ROW($B$9)</f>
        <v>7</v>
      </c>
      <c r="C16" s="60" t="s">
        <v>314</v>
      </c>
      <c r="D16" s="46" t="s">
        <v>12</v>
      </c>
      <c r="E16" s="47" t="s">
        <v>79</v>
      </c>
      <c r="F16" s="46" t="s">
        <v>145</v>
      </c>
      <c r="G16" s="46" t="s">
        <v>184</v>
      </c>
      <c r="H16" s="46" t="s">
        <v>225</v>
      </c>
      <c r="I16" s="46" t="s">
        <v>312</v>
      </c>
      <c r="J16" s="46" t="s">
        <v>379</v>
      </c>
      <c r="K16" s="46" t="s">
        <v>262</v>
      </c>
      <c r="L16" s="47">
        <v>2</v>
      </c>
      <c r="M16" s="46">
        <f t="shared" si="1"/>
        <v>20</v>
      </c>
      <c r="N16" s="46">
        <v>100</v>
      </c>
      <c r="O16" s="62" t="s">
        <v>316</v>
      </c>
      <c r="P16" s="53">
        <v>1E-3</v>
      </c>
      <c r="Q16" s="53">
        <f t="shared" si="2"/>
        <v>0.1</v>
      </c>
      <c r="R16" s="65"/>
      <c r="S16" s="48"/>
    </row>
    <row r="17" spans="1:19" ht="15.75" thickBot="1" x14ac:dyDescent="0.3">
      <c r="A17" s="1"/>
      <c r="B17" s="38">
        <f t="shared" si="0"/>
        <v>8</v>
      </c>
      <c r="C17" s="59" t="s">
        <v>314</v>
      </c>
      <c r="D17" s="50" t="s">
        <v>13</v>
      </c>
      <c r="E17" s="51" t="s">
        <v>80</v>
      </c>
      <c r="F17" s="50" t="s">
        <v>146</v>
      </c>
      <c r="G17" s="50" t="s">
        <v>185</v>
      </c>
      <c r="H17" s="50" t="s">
        <v>221</v>
      </c>
      <c r="I17" s="50" t="s">
        <v>312</v>
      </c>
      <c r="J17" s="50" t="s">
        <v>328</v>
      </c>
      <c r="K17" s="50" t="s">
        <v>263</v>
      </c>
      <c r="L17" s="51">
        <v>1</v>
      </c>
      <c r="M17" s="50">
        <f t="shared" si="1"/>
        <v>10</v>
      </c>
      <c r="N17" s="50">
        <v>100</v>
      </c>
      <c r="O17" s="63" t="s">
        <v>316</v>
      </c>
      <c r="P17" s="54">
        <v>3.2000000000000002E-3</v>
      </c>
      <c r="Q17" s="54">
        <f t="shared" si="2"/>
        <v>0.32</v>
      </c>
      <c r="R17" s="64"/>
      <c r="S17" s="52"/>
    </row>
    <row r="18" spans="1:19" ht="15.75" thickBot="1" x14ac:dyDescent="0.3">
      <c r="A18" s="1"/>
      <c r="B18" s="38">
        <f>ROW(B18) - ROW($B$9)</f>
        <v>9</v>
      </c>
      <c r="C18" s="60" t="s">
        <v>314</v>
      </c>
      <c r="D18" s="46" t="s">
        <v>14</v>
      </c>
      <c r="E18" s="47" t="s">
        <v>81</v>
      </c>
      <c r="F18" s="46" t="s">
        <v>141</v>
      </c>
      <c r="G18" s="46" t="s">
        <v>186</v>
      </c>
      <c r="H18" s="46" t="s">
        <v>224</v>
      </c>
      <c r="I18" s="46" t="s">
        <v>312</v>
      </c>
      <c r="J18" s="46" t="s">
        <v>315</v>
      </c>
      <c r="K18" s="46" t="s">
        <v>264</v>
      </c>
      <c r="L18" s="47">
        <v>1</v>
      </c>
      <c r="M18" s="46">
        <f t="shared" si="1"/>
        <v>10</v>
      </c>
      <c r="N18" s="46">
        <v>20</v>
      </c>
      <c r="O18" s="62" t="s">
        <v>316</v>
      </c>
      <c r="P18" s="53">
        <v>1.7899999999999999E-2</v>
      </c>
      <c r="Q18" s="53">
        <f t="shared" si="2"/>
        <v>0.35799999999999998</v>
      </c>
      <c r="R18" s="65"/>
      <c r="S18" s="48"/>
    </row>
    <row r="19" spans="1:19" ht="15.75" thickBot="1" x14ac:dyDescent="0.3">
      <c r="A19" s="1"/>
      <c r="B19" s="38">
        <f t="shared" si="0"/>
        <v>10</v>
      </c>
      <c r="C19" s="59" t="s">
        <v>314</v>
      </c>
      <c r="D19" s="50" t="s">
        <v>15</v>
      </c>
      <c r="E19" s="51" t="s">
        <v>82</v>
      </c>
      <c r="F19" s="50" t="s">
        <v>145</v>
      </c>
      <c r="G19" s="68" t="s">
        <v>187</v>
      </c>
      <c r="H19" s="50" t="s">
        <v>226</v>
      </c>
      <c r="I19" s="50" t="s">
        <v>381</v>
      </c>
      <c r="J19" s="50" t="s">
        <v>380</v>
      </c>
      <c r="K19" s="50" t="s">
        <v>265</v>
      </c>
      <c r="L19" s="51">
        <v>1</v>
      </c>
      <c r="M19" s="50">
        <f t="shared" si="1"/>
        <v>10</v>
      </c>
      <c r="N19" s="50">
        <v>100</v>
      </c>
      <c r="O19" s="63" t="s">
        <v>316</v>
      </c>
      <c r="P19" s="54">
        <v>2E-3</v>
      </c>
      <c r="Q19" s="54">
        <f t="shared" si="2"/>
        <v>0.2</v>
      </c>
      <c r="R19" s="64"/>
      <c r="S19" s="52"/>
    </row>
    <row r="20" spans="1:19" ht="15.75" thickBot="1" x14ac:dyDescent="0.3">
      <c r="A20" s="1"/>
      <c r="B20" s="38">
        <f>ROW(B20) - ROW($B$9)</f>
        <v>11</v>
      </c>
      <c r="C20" s="60" t="s">
        <v>314</v>
      </c>
      <c r="D20" s="46" t="s">
        <v>16</v>
      </c>
      <c r="E20" s="47" t="s">
        <v>83</v>
      </c>
      <c r="F20" s="46" t="s">
        <v>141</v>
      </c>
      <c r="G20" s="46" t="s">
        <v>188</v>
      </c>
      <c r="H20" s="46" t="s">
        <v>221</v>
      </c>
      <c r="I20" s="46" t="s">
        <v>312</v>
      </c>
      <c r="J20" s="46" t="s">
        <v>329</v>
      </c>
      <c r="K20" s="46" t="s">
        <v>266</v>
      </c>
      <c r="L20" s="47">
        <v>1</v>
      </c>
      <c r="M20" s="46">
        <f t="shared" si="1"/>
        <v>10</v>
      </c>
      <c r="N20" s="46">
        <v>100</v>
      </c>
      <c r="O20" s="62" t="s">
        <v>316</v>
      </c>
      <c r="P20" s="53">
        <v>2.0999999999999999E-3</v>
      </c>
      <c r="Q20" s="53">
        <f t="shared" si="2"/>
        <v>0.21</v>
      </c>
      <c r="R20" s="65"/>
      <c r="S20" s="48"/>
    </row>
    <row r="21" spans="1:19" ht="15.75" thickBot="1" x14ac:dyDescent="0.3">
      <c r="A21" s="1"/>
      <c r="B21" s="38">
        <f t="shared" si="0"/>
        <v>12</v>
      </c>
      <c r="C21" s="59" t="s">
        <v>314</v>
      </c>
      <c r="D21" s="50" t="s">
        <v>17</v>
      </c>
      <c r="E21" s="51" t="s">
        <v>84</v>
      </c>
      <c r="F21" s="50" t="s">
        <v>141</v>
      </c>
      <c r="G21" s="50" t="s">
        <v>189</v>
      </c>
      <c r="H21" s="50" t="s">
        <v>224</v>
      </c>
      <c r="I21" s="50" t="s">
        <v>312</v>
      </c>
      <c r="J21" s="50" t="s">
        <v>330</v>
      </c>
      <c r="K21" s="50" t="s">
        <v>267</v>
      </c>
      <c r="L21" s="51">
        <v>8</v>
      </c>
      <c r="M21" s="50">
        <f t="shared" si="1"/>
        <v>80</v>
      </c>
      <c r="N21" s="50">
        <v>100</v>
      </c>
      <c r="O21" s="63" t="s">
        <v>316</v>
      </c>
      <c r="P21" s="54">
        <v>7.4000000000000003E-3</v>
      </c>
      <c r="Q21" s="54">
        <f t="shared" si="2"/>
        <v>0.74</v>
      </c>
      <c r="R21" s="64"/>
      <c r="S21" s="52"/>
    </row>
    <row r="22" spans="1:19" ht="15.75" thickBot="1" x14ac:dyDescent="0.3">
      <c r="A22" s="1"/>
      <c r="B22" s="38">
        <f>ROW(B22) - ROW($B$9)</f>
        <v>13</v>
      </c>
      <c r="C22" s="60" t="s">
        <v>314</v>
      </c>
      <c r="D22" s="46" t="s">
        <v>18</v>
      </c>
      <c r="E22" s="47" t="s">
        <v>85</v>
      </c>
      <c r="F22" s="46" t="s">
        <v>141</v>
      </c>
      <c r="G22" s="46" t="s">
        <v>190</v>
      </c>
      <c r="H22" s="46" t="s">
        <v>221</v>
      </c>
      <c r="I22" s="46" t="s">
        <v>312</v>
      </c>
      <c r="J22" s="46" t="s">
        <v>331</v>
      </c>
      <c r="K22" s="46" t="s">
        <v>268</v>
      </c>
      <c r="L22" s="47">
        <v>2</v>
      </c>
      <c r="M22" s="46">
        <f t="shared" si="1"/>
        <v>20</v>
      </c>
      <c r="N22" s="46">
        <v>100</v>
      </c>
      <c r="O22" s="62" t="s">
        <v>316</v>
      </c>
      <c r="P22" s="53">
        <v>2.8E-3</v>
      </c>
      <c r="Q22" s="53">
        <f t="shared" si="2"/>
        <v>0.27999999999999997</v>
      </c>
      <c r="R22" s="65"/>
      <c r="S22" s="48"/>
    </row>
    <row r="23" spans="1:19" ht="15.75" thickBot="1" x14ac:dyDescent="0.3">
      <c r="A23" s="1"/>
      <c r="B23" s="38">
        <f t="shared" si="0"/>
        <v>14</v>
      </c>
      <c r="C23" s="59" t="s">
        <v>314</v>
      </c>
      <c r="D23" s="50" t="s">
        <v>19</v>
      </c>
      <c r="E23" s="51" t="s">
        <v>86</v>
      </c>
      <c r="F23" s="50" t="s">
        <v>147</v>
      </c>
      <c r="G23" s="50" t="s">
        <v>191</v>
      </c>
      <c r="H23" s="50" t="s">
        <v>227</v>
      </c>
      <c r="I23" s="50" t="s">
        <v>312</v>
      </c>
      <c r="J23" s="50" t="s">
        <v>332</v>
      </c>
      <c r="K23" s="50" t="s">
        <v>260</v>
      </c>
      <c r="L23" s="51">
        <v>2</v>
      </c>
      <c r="M23" s="50">
        <f t="shared" si="1"/>
        <v>20</v>
      </c>
      <c r="N23" s="50">
        <v>22</v>
      </c>
      <c r="O23" s="63" t="s">
        <v>316</v>
      </c>
      <c r="P23" s="54">
        <v>0.19009999999999999</v>
      </c>
      <c r="Q23" s="54">
        <f t="shared" si="2"/>
        <v>4.1821999999999999</v>
      </c>
      <c r="R23" s="64"/>
      <c r="S23" s="52"/>
    </row>
    <row r="24" spans="1:19" ht="15.75" thickBot="1" x14ac:dyDescent="0.3">
      <c r="A24" s="1"/>
      <c r="B24" s="38">
        <f>ROW(B24) - ROW($B$9)</f>
        <v>15</v>
      </c>
      <c r="C24" s="60" t="s">
        <v>314</v>
      </c>
      <c r="D24" s="46" t="s">
        <v>20</v>
      </c>
      <c r="E24" s="47" t="s">
        <v>87</v>
      </c>
      <c r="F24" s="46" t="s">
        <v>310</v>
      </c>
      <c r="G24" s="46" t="s">
        <v>309</v>
      </c>
      <c r="H24" s="46" t="s">
        <v>228</v>
      </c>
      <c r="I24" s="46" t="s">
        <v>312</v>
      </c>
      <c r="J24" s="46" t="s">
        <v>333</v>
      </c>
      <c r="K24" s="46" t="s">
        <v>260</v>
      </c>
      <c r="L24" s="47">
        <v>2</v>
      </c>
      <c r="M24" s="46">
        <f t="shared" si="1"/>
        <v>20</v>
      </c>
      <c r="N24" s="46">
        <v>40</v>
      </c>
      <c r="O24" s="62" t="s">
        <v>316</v>
      </c>
      <c r="P24" s="53">
        <v>2.9000000000000001E-2</v>
      </c>
      <c r="Q24" s="53">
        <f t="shared" si="2"/>
        <v>1.1600000000000001</v>
      </c>
      <c r="R24" s="65"/>
      <c r="S24" s="48"/>
    </row>
    <row r="25" spans="1:19" ht="15.75" thickBot="1" x14ac:dyDescent="0.3">
      <c r="A25" s="1"/>
      <c r="B25" s="38">
        <f t="shared" si="0"/>
        <v>16</v>
      </c>
      <c r="C25" s="59" t="s">
        <v>314</v>
      </c>
      <c r="D25" s="50" t="s">
        <v>21</v>
      </c>
      <c r="E25" s="51" t="s">
        <v>88</v>
      </c>
      <c r="F25" s="50" t="s">
        <v>141</v>
      </c>
      <c r="G25" s="68" t="s">
        <v>192</v>
      </c>
      <c r="H25" s="50" t="s">
        <v>224</v>
      </c>
      <c r="I25" s="50" t="s">
        <v>410</v>
      </c>
      <c r="J25" s="50" t="s">
        <v>411</v>
      </c>
      <c r="K25" s="50" t="s">
        <v>269</v>
      </c>
      <c r="L25" s="51">
        <v>2</v>
      </c>
      <c r="M25" s="50">
        <f t="shared" si="1"/>
        <v>20</v>
      </c>
      <c r="N25" s="50">
        <v>50</v>
      </c>
      <c r="O25" s="63" t="s">
        <v>316</v>
      </c>
      <c r="P25" s="54">
        <v>1.1900000000000001E-2</v>
      </c>
      <c r="Q25" s="54">
        <f t="shared" si="2"/>
        <v>0.59500000000000008</v>
      </c>
      <c r="R25" s="64"/>
      <c r="S25" s="52"/>
    </row>
    <row r="26" spans="1:19" ht="24.75" thickBot="1" x14ac:dyDescent="0.3">
      <c r="A26" s="1"/>
      <c r="B26" s="38">
        <f t="shared" si="0"/>
        <v>17</v>
      </c>
      <c r="C26" s="60" t="s">
        <v>314</v>
      </c>
      <c r="D26" s="46" t="s">
        <v>408</v>
      </c>
      <c r="E26" s="47" t="s">
        <v>78</v>
      </c>
      <c r="F26" s="46" t="s">
        <v>141</v>
      </c>
      <c r="G26" s="46" t="s">
        <v>193</v>
      </c>
      <c r="H26" s="46" t="s">
        <v>229</v>
      </c>
      <c r="I26" s="46" t="s">
        <v>312</v>
      </c>
      <c r="J26" s="46" t="s">
        <v>334</v>
      </c>
      <c r="K26" s="46" t="s">
        <v>261</v>
      </c>
      <c r="L26" s="47">
        <v>13</v>
      </c>
      <c r="M26" s="46">
        <f t="shared" si="1"/>
        <v>130</v>
      </c>
      <c r="N26" s="46">
        <v>150</v>
      </c>
      <c r="O26" s="62" t="s">
        <v>316</v>
      </c>
      <c r="P26" s="53">
        <v>4.1999999999999997E-3</v>
      </c>
      <c r="Q26" s="53">
        <f t="shared" si="2"/>
        <v>0.63</v>
      </c>
      <c r="R26" s="65"/>
      <c r="S26" s="48"/>
    </row>
    <row r="27" spans="1:19" ht="15.75" thickBot="1" x14ac:dyDescent="0.3">
      <c r="A27" s="1"/>
      <c r="B27" s="38">
        <f>ROW(B27) - ROW($B$9)</f>
        <v>18</v>
      </c>
      <c r="C27" s="59" t="s">
        <v>314</v>
      </c>
      <c r="D27" s="50" t="s">
        <v>22</v>
      </c>
      <c r="E27" s="51" t="s">
        <v>89</v>
      </c>
      <c r="F27" s="50" t="s">
        <v>146</v>
      </c>
      <c r="G27" s="50" t="s">
        <v>194</v>
      </c>
      <c r="H27" s="50" t="s">
        <v>221</v>
      </c>
      <c r="I27" s="50" t="s">
        <v>312</v>
      </c>
      <c r="J27" s="50" t="s">
        <v>335</v>
      </c>
      <c r="K27" s="50" t="s">
        <v>270</v>
      </c>
      <c r="L27" s="51">
        <v>1</v>
      </c>
      <c r="M27" s="50">
        <f t="shared" si="1"/>
        <v>10</v>
      </c>
      <c r="N27" s="50">
        <v>50</v>
      </c>
      <c r="O27" s="63" t="s">
        <v>316</v>
      </c>
      <c r="P27" s="54">
        <v>6.7000000000000002E-3</v>
      </c>
      <c r="Q27" s="54">
        <f t="shared" si="2"/>
        <v>0.33500000000000002</v>
      </c>
      <c r="R27" s="64"/>
      <c r="S27" s="52"/>
    </row>
    <row r="28" spans="1:19" ht="15.75" thickBot="1" x14ac:dyDescent="0.3">
      <c r="A28" s="1"/>
      <c r="B28" s="38">
        <f t="shared" si="0"/>
        <v>19</v>
      </c>
      <c r="C28" s="60" t="s">
        <v>314</v>
      </c>
      <c r="D28" s="46" t="s">
        <v>23</v>
      </c>
      <c r="E28" s="47" t="s">
        <v>90</v>
      </c>
      <c r="F28" s="46" t="s">
        <v>146</v>
      </c>
      <c r="G28" s="46" t="s">
        <v>195</v>
      </c>
      <c r="H28" s="46" t="s">
        <v>221</v>
      </c>
      <c r="I28" s="46" t="s">
        <v>312</v>
      </c>
      <c r="J28" s="46" t="s">
        <v>336</v>
      </c>
      <c r="K28" s="46" t="s">
        <v>271</v>
      </c>
      <c r="L28" s="47">
        <v>1</v>
      </c>
      <c r="M28" s="46">
        <f t="shared" si="1"/>
        <v>10</v>
      </c>
      <c r="N28" s="46">
        <v>50</v>
      </c>
      <c r="O28" s="62" t="s">
        <v>316</v>
      </c>
      <c r="P28" s="53">
        <v>5.1999999999999998E-3</v>
      </c>
      <c r="Q28" s="53">
        <f t="shared" si="2"/>
        <v>0.26</v>
      </c>
      <c r="R28" s="65"/>
      <c r="S28" s="48"/>
    </row>
    <row r="29" spans="1:19" ht="15.75" thickBot="1" x14ac:dyDescent="0.3">
      <c r="A29" s="1"/>
      <c r="B29" s="38">
        <f t="shared" si="0"/>
        <v>20</v>
      </c>
      <c r="C29" s="59" t="s">
        <v>314</v>
      </c>
      <c r="D29" s="50" t="s">
        <v>409</v>
      </c>
      <c r="E29" s="51" t="s">
        <v>91</v>
      </c>
      <c r="F29" s="50" t="s">
        <v>141</v>
      </c>
      <c r="G29" s="68" t="s">
        <v>196</v>
      </c>
      <c r="H29" s="50" t="s">
        <v>221</v>
      </c>
      <c r="I29" s="50" t="s">
        <v>382</v>
      </c>
      <c r="J29" s="50" t="s">
        <v>383</v>
      </c>
      <c r="K29" s="50" t="s">
        <v>272</v>
      </c>
      <c r="L29" s="51">
        <v>6</v>
      </c>
      <c r="M29" s="50">
        <f t="shared" si="1"/>
        <v>60</v>
      </c>
      <c r="N29" s="50">
        <v>100</v>
      </c>
      <c r="O29" s="63" t="s">
        <v>316</v>
      </c>
      <c r="P29" s="54">
        <v>4.4999999999999997E-3</v>
      </c>
      <c r="Q29" s="54">
        <f t="shared" si="2"/>
        <v>0.44999999999999996</v>
      </c>
      <c r="R29" s="64"/>
      <c r="S29" s="52"/>
    </row>
    <row r="30" spans="1:19" ht="24.75" thickBot="1" x14ac:dyDescent="0.3">
      <c r="A30" s="1"/>
      <c r="B30" s="38">
        <f t="shared" si="0"/>
        <v>21</v>
      </c>
      <c r="C30" s="60" t="s">
        <v>311</v>
      </c>
      <c r="D30" s="46" t="s">
        <v>24</v>
      </c>
      <c r="E30" s="47" t="s">
        <v>92</v>
      </c>
      <c r="F30" s="46" t="s">
        <v>148</v>
      </c>
      <c r="G30" s="46" t="s">
        <v>273</v>
      </c>
      <c r="H30" s="46" t="s">
        <v>230</v>
      </c>
      <c r="I30" s="46" t="s">
        <v>312</v>
      </c>
      <c r="J30" s="46" t="s">
        <v>363</v>
      </c>
      <c r="K30" s="46" t="s">
        <v>312</v>
      </c>
      <c r="L30" s="47">
        <v>2</v>
      </c>
      <c r="M30" s="46">
        <f t="shared" si="1"/>
        <v>20</v>
      </c>
      <c r="N30" s="46">
        <v>40</v>
      </c>
      <c r="O30" s="62" t="s">
        <v>316</v>
      </c>
      <c r="P30" s="53">
        <v>2.52E-2</v>
      </c>
      <c r="Q30" s="53">
        <f t="shared" si="2"/>
        <v>1.008</v>
      </c>
      <c r="R30" s="65"/>
      <c r="S30" s="48"/>
    </row>
    <row r="31" spans="1:19" ht="24.75" thickBot="1" x14ac:dyDescent="0.3">
      <c r="A31" s="1"/>
      <c r="B31" s="38">
        <f>ROW(B31) - ROW($B$9)</f>
        <v>22</v>
      </c>
      <c r="C31" s="59" t="s">
        <v>311</v>
      </c>
      <c r="D31" s="50" t="s">
        <v>25</v>
      </c>
      <c r="E31" s="51" t="s">
        <v>93</v>
      </c>
      <c r="F31" s="50" t="s">
        <v>365</v>
      </c>
      <c r="G31" s="50" t="s">
        <v>149</v>
      </c>
      <c r="H31" s="50" t="s">
        <v>231</v>
      </c>
      <c r="I31" s="50" t="s">
        <v>312</v>
      </c>
      <c r="J31" s="50" t="s">
        <v>364</v>
      </c>
      <c r="K31" s="50" t="s">
        <v>312</v>
      </c>
      <c r="L31" s="51">
        <v>1</v>
      </c>
      <c r="M31" s="50">
        <f t="shared" si="1"/>
        <v>10</v>
      </c>
      <c r="N31" s="50">
        <v>20</v>
      </c>
      <c r="O31" s="63" t="s">
        <v>316</v>
      </c>
      <c r="P31" s="54">
        <v>4.9000000000000002E-2</v>
      </c>
      <c r="Q31" s="54">
        <f t="shared" si="2"/>
        <v>0.98</v>
      </c>
      <c r="R31" s="64"/>
      <c r="S31" s="52"/>
    </row>
    <row r="32" spans="1:19" ht="24.75" thickBot="1" x14ac:dyDescent="0.3">
      <c r="A32" s="1"/>
      <c r="B32" s="38">
        <f t="shared" si="0"/>
        <v>23</v>
      </c>
      <c r="C32" s="60" t="s">
        <v>311</v>
      </c>
      <c r="D32" s="46" t="s">
        <v>26</v>
      </c>
      <c r="E32" s="47" t="s">
        <v>94</v>
      </c>
      <c r="F32" s="46" t="s">
        <v>150</v>
      </c>
      <c r="G32" s="46" t="s">
        <v>197</v>
      </c>
      <c r="H32" s="46" t="s">
        <v>232</v>
      </c>
      <c r="I32" s="46" t="s">
        <v>312</v>
      </c>
      <c r="J32" s="46" t="s">
        <v>317</v>
      </c>
      <c r="K32" s="46" t="s">
        <v>312</v>
      </c>
      <c r="L32" s="47">
        <v>1</v>
      </c>
      <c r="M32" s="46">
        <f t="shared" si="1"/>
        <v>10</v>
      </c>
      <c r="N32" s="46">
        <v>50</v>
      </c>
      <c r="O32" s="62" t="s">
        <v>316</v>
      </c>
      <c r="P32" s="53">
        <v>1.95E-2</v>
      </c>
      <c r="Q32" s="53">
        <f t="shared" si="2"/>
        <v>0.97499999999999998</v>
      </c>
      <c r="R32" s="65"/>
      <c r="S32" s="48"/>
    </row>
    <row r="33" spans="1:19" ht="15.75" thickBot="1" x14ac:dyDescent="0.3">
      <c r="A33" s="1"/>
      <c r="B33" s="38">
        <f>ROW(B33) - ROW($B$9)</f>
        <v>24</v>
      </c>
      <c r="C33" s="59" t="s">
        <v>394</v>
      </c>
      <c r="D33" s="50" t="s">
        <v>27</v>
      </c>
      <c r="E33" s="51" t="s">
        <v>95</v>
      </c>
      <c r="F33" s="50" t="s">
        <v>310</v>
      </c>
      <c r="G33" s="50" t="s">
        <v>151</v>
      </c>
      <c r="H33" s="50" t="s">
        <v>233</v>
      </c>
      <c r="I33" s="50" t="s">
        <v>312</v>
      </c>
      <c r="J33" s="50" t="s">
        <v>318</v>
      </c>
      <c r="K33" s="50" t="s">
        <v>312</v>
      </c>
      <c r="L33" s="51">
        <v>1</v>
      </c>
      <c r="M33" s="50">
        <f t="shared" si="1"/>
        <v>10</v>
      </c>
      <c r="N33" s="50">
        <v>15</v>
      </c>
      <c r="O33" s="63" t="s">
        <v>316</v>
      </c>
      <c r="P33" s="54">
        <v>8.7499999999999994E-2</v>
      </c>
      <c r="Q33" s="54">
        <f t="shared" si="2"/>
        <v>1.3125</v>
      </c>
      <c r="R33" s="64"/>
      <c r="S33" s="52"/>
    </row>
    <row r="34" spans="1:19" ht="15.75" thickBot="1" x14ac:dyDescent="0.3">
      <c r="A34" s="1"/>
      <c r="B34" s="38">
        <f t="shared" si="0"/>
        <v>25</v>
      </c>
      <c r="C34" s="60" t="s">
        <v>395</v>
      </c>
      <c r="D34" s="46" t="s">
        <v>28</v>
      </c>
      <c r="E34" s="47" t="s">
        <v>96</v>
      </c>
      <c r="F34" s="46" t="s">
        <v>152</v>
      </c>
      <c r="G34" s="69" t="s">
        <v>198</v>
      </c>
      <c r="H34" s="46" t="s">
        <v>234</v>
      </c>
      <c r="I34" s="46" t="s">
        <v>412</v>
      </c>
      <c r="J34" s="46" t="s">
        <v>384</v>
      </c>
      <c r="K34" s="46" t="s">
        <v>312</v>
      </c>
      <c r="L34" s="47">
        <v>1</v>
      </c>
      <c r="M34" s="46">
        <f t="shared" si="1"/>
        <v>10</v>
      </c>
      <c r="N34" s="46">
        <v>20</v>
      </c>
      <c r="O34" s="62" t="s">
        <v>316</v>
      </c>
      <c r="P34" s="53">
        <v>2.5600000000000001E-2</v>
      </c>
      <c r="Q34" s="53">
        <f t="shared" si="2"/>
        <v>0.51200000000000001</v>
      </c>
      <c r="R34" s="65"/>
      <c r="S34" s="48"/>
    </row>
    <row r="35" spans="1:19" ht="36.75" thickBot="1" x14ac:dyDescent="0.3">
      <c r="A35" s="1"/>
      <c r="B35" s="38">
        <f>ROW(B35) - ROW($B$9)</f>
        <v>26</v>
      </c>
      <c r="C35" s="59" t="s">
        <v>394</v>
      </c>
      <c r="D35" s="50" t="s">
        <v>29</v>
      </c>
      <c r="E35" s="51" t="s">
        <v>97</v>
      </c>
      <c r="F35" s="50" t="s">
        <v>310</v>
      </c>
      <c r="G35" s="50" t="s">
        <v>153</v>
      </c>
      <c r="H35" s="50" t="s">
        <v>235</v>
      </c>
      <c r="I35" s="50" t="s">
        <v>312</v>
      </c>
      <c r="J35" s="50" t="s">
        <v>319</v>
      </c>
      <c r="K35" s="50" t="s">
        <v>312</v>
      </c>
      <c r="L35" s="51">
        <v>1</v>
      </c>
      <c r="M35" s="50">
        <f t="shared" si="1"/>
        <v>10</v>
      </c>
      <c r="N35" s="50">
        <v>11</v>
      </c>
      <c r="O35" s="63" t="s">
        <v>316</v>
      </c>
      <c r="P35" s="54">
        <v>0.66449999999999998</v>
      </c>
      <c r="Q35" s="54">
        <f t="shared" si="2"/>
        <v>7.3094999999999999</v>
      </c>
      <c r="R35" s="64"/>
      <c r="S35" s="52"/>
    </row>
    <row r="36" spans="1:19" ht="36.75" thickBot="1" x14ac:dyDescent="0.3">
      <c r="A36" s="1"/>
      <c r="B36" s="38">
        <f t="shared" si="0"/>
        <v>27</v>
      </c>
      <c r="C36" s="60" t="s">
        <v>396</v>
      </c>
      <c r="D36" s="46" t="s">
        <v>30</v>
      </c>
      <c r="E36" s="47" t="s">
        <v>98</v>
      </c>
      <c r="F36" s="46" t="s">
        <v>310</v>
      </c>
      <c r="G36" s="46" t="s">
        <v>154</v>
      </c>
      <c r="H36" s="46" t="s">
        <v>226</v>
      </c>
      <c r="I36" s="46" t="s">
        <v>312</v>
      </c>
      <c r="J36" s="46" t="s">
        <v>337</v>
      </c>
      <c r="K36" s="46" t="s">
        <v>274</v>
      </c>
      <c r="L36" s="47">
        <v>1</v>
      </c>
      <c r="M36" s="46">
        <f t="shared" si="1"/>
        <v>10</v>
      </c>
      <c r="N36" s="46">
        <v>12</v>
      </c>
      <c r="O36" s="62" t="s">
        <v>316</v>
      </c>
      <c r="P36" s="53">
        <v>0.42520000000000002</v>
      </c>
      <c r="Q36" s="53">
        <f t="shared" si="2"/>
        <v>5.1024000000000003</v>
      </c>
      <c r="R36" s="65"/>
      <c r="S36" s="48"/>
    </row>
    <row r="37" spans="1:19" ht="36.75" thickBot="1" x14ac:dyDescent="0.3">
      <c r="A37" s="1"/>
      <c r="B37" s="38">
        <f>ROW(B37) - ROW($B$9)</f>
        <v>28</v>
      </c>
      <c r="C37" s="59" t="s">
        <v>396</v>
      </c>
      <c r="D37" s="50" t="s">
        <v>31</v>
      </c>
      <c r="E37" s="51" t="s">
        <v>99</v>
      </c>
      <c r="F37" s="50" t="s">
        <v>310</v>
      </c>
      <c r="G37" s="50" t="s">
        <v>155</v>
      </c>
      <c r="H37" s="50" t="s">
        <v>236</v>
      </c>
      <c r="I37" s="50" t="s">
        <v>312</v>
      </c>
      <c r="J37" s="50" t="s">
        <v>338</v>
      </c>
      <c r="K37" s="50" t="s">
        <v>275</v>
      </c>
      <c r="L37" s="51">
        <v>1</v>
      </c>
      <c r="M37" s="50">
        <f t="shared" si="1"/>
        <v>10</v>
      </c>
      <c r="N37" s="50">
        <v>12</v>
      </c>
      <c r="O37" s="63" t="s">
        <v>316</v>
      </c>
      <c r="P37" s="54">
        <v>0.16500000000000001</v>
      </c>
      <c r="Q37" s="54">
        <f t="shared" si="2"/>
        <v>1.98</v>
      </c>
      <c r="R37" s="64"/>
      <c r="S37" s="52"/>
    </row>
    <row r="38" spans="1:19" ht="15.75" thickBot="1" x14ac:dyDescent="0.3">
      <c r="A38" s="1"/>
      <c r="B38" s="38">
        <f t="shared" si="0"/>
        <v>29</v>
      </c>
      <c r="C38" s="60" t="s">
        <v>396</v>
      </c>
      <c r="D38" s="46" t="s">
        <v>32</v>
      </c>
      <c r="E38" s="47" t="s">
        <v>100</v>
      </c>
      <c r="F38" s="46" t="s">
        <v>156</v>
      </c>
      <c r="G38" s="46" t="s">
        <v>385</v>
      </c>
      <c r="H38" s="46" t="s">
        <v>386</v>
      </c>
      <c r="I38" s="46" t="s">
        <v>312</v>
      </c>
      <c r="J38" s="46" t="s">
        <v>387</v>
      </c>
      <c r="K38" s="46" t="s">
        <v>276</v>
      </c>
      <c r="L38" s="47">
        <v>1</v>
      </c>
      <c r="M38" s="46">
        <f t="shared" si="1"/>
        <v>10</v>
      </c>
      <c r="N38" s="46">
        <v>50</v>
      </c>
      <c r="O38" s="62" t="s">
        <v>316</v>
      </c>
      <c r="P38" s="53">
        <v>9.7000000000000003E-3</v>
      </c>
      <c r="Q38" s="53">
        <f t="shared" si="2"/>
        <v>0.48499999999999999</v>
      </c>
      <c r="R38" s="65"/>
      <c r="S38" s="48"/>
    </row>
    <row r="39" spans="1:19" ht="15.75" thickBot="1" x14ac:dyDescent="0.3">
      <c r="A39" s="1"/>
      <c r="B39" s="38">
        <f>ROW(B39) - ROW($B$9)</f>
        <v>30</v>
      </c>
      <c r="C39" s="59" t="s">
        <v>396</v>
      </c>
      <c r="D39" s="50" t="s">
        <v>33</v>
      </c>
      <c r="E39" s="51" t="s">
        <v>101</v>
      </c>
      <c r="F39" s="50" t="s">
        <v>310</v>
      </c>
      <c r="G39" s="50" t="s">
        <v>157</v>
      </c>
      <c r="H39" s="50" t="s">
        <v>237</v>
      </c>
      <c r="I39" s="50" t="s">
        <v>312</v>
      </c>
      <c r="J39" s="50" t="s">
        <v>339</v>
      </c>
      <c r="K39" s="50" t="s">
        <v>277</v>
      </c>
      <c r="L39" s="51">
        <v>2</v>
      </c>
      <c r="M39" s="50">
        <f t="shared" si="1"/>
        <v>20</v>
      </c>
      <c r="N39" s="50">
        <v>30</v>
      </c>
      <c r="O39" s="63" t="s">
        <v>316</v>
      </c>
      <c r="P39" s="54">
        <v>6.4500000000000002E-2</v>
      </c>
      <c r="Q39" s="54">
        <f t="shared" si="2"/>
        <v>1.9350000000000001</v>
      </c>
      <c r="R39" s="64"/>
      <c r="S39" s="52"/>
    </row>
    <row r="40" spans="1:19" ht="24.75" thickBot="1" x14ac:dyDescent="0.3">
      <c r="A40" s="1"/>
      <c r="B40" s="38">
        <f t="shared" si="0"/>
        <v>31</v>
      </c>
      <c r="C40" s="60" t="s">
        <v>396</v>
      </c>
      <c r="D40" s="46" t="s">
        <v>34</v>
      </c>
      <c r="E40" s="47" t="s">
        <v>102</v>
      </c>
      <c r="F40" s="46" t="s">
        <v>156</v>
      </c>
      <c r="G40" s="46" t="s">
        <v>199</v>
      </c>
      <c r="H40" s="46" t="s">
        <v>238</v>
      </c>
      <c r="I40" s="46" t="s">
        <v>312</v>
      </c>
      <c r="J40" s="46" t="s">
        <v>340</v>
      </c>
      <c r="K40" s="46" t="s">
        <v>278</v>
      </c>
      <c r="L40" s="47">
        <v>1</v>
      </c>
      <c r="M40" s="46">
        <f t="shared" si="1"/>
        <v>10</v>
      </c>
      <c r="N40" s="46">
        <v>20</v>
      </c>
      <c r="O40" s="62" t="s">
        <v>316</v>
      </c>
      <c r="P40" s="53">
        <v>8.5900000000000004E-2</v>
      </c>
      <c r="Q40" s="53">
        <f t="shared" si="2"/>
        <v>1.718</v>
      </c>
      <c r="R40" s="65"/>
      <c r="S40" s="48"/>
    </row>
    <row r="41" spans="1:19" ht="15.75" thickBot="1" x14ac:dyDescent="0.3">
      <c r="A41" s="1"/>
      <c r="B41" s="38">
        <f>ROW(B41) - ROW($B$9)</f>
        <v>32</v>
      </c>
      <c r="C41" s="59" t="s">
        <v>396</v>
      </c>
      <c r="D41" s="50" t="s">
        <v>35</v>
      </c>
      <c r="E41" s="51" t="s">
        <v>103</v>
      </c>
      <c r="F41" s="50" t="s">
        <v>156</v>
      </c>
      <c r="G41" s="50" t="s">
        <v>200</v>
      </c>
      <c r="H41" s="50" t="s">
        <v>239</v>
      </c>
      <c r="I41" s="50" t="s">
        <v>312</v>
      </c>
      <c r="J41" s="50" t="s">
        <v>341</v>
      </c>
      <c r="K41" s="50" t="s">
        <v>312</v>
      </c>
      <c r="L41" s="51">
        <v>1</v>
      </c>
      <c r="M41" s="50">
        <f t="shared" si="1"/>
        <v>10</v>
      </c>
      <c r="N41" s="50">
        <v>50</v>
      </c>
      <c r="O41" s="63" t="s">
        <v>316</v>
      </c>
      <c r="P41" s="54">
        <v>9.5999999999999992E-3</v>
      </c>
      <c r="Q41" s="54">
        <f t="shared" si="2"/>
        <v>0.48</v>
      </c>
      <c r="R41" s="64"/>
      <c r="S41" s="52"/>
    </row>
    <row r="42" spans="1:19" s="77" customFormat="1" ht="45.75" thickBot="1" x14ac:dyDescent="0.3">
      <c r="A42" s="76"/>
      <c r="B42" s="38">
        <f t="shared" si="0"/>
        <v>33</v>
      </c>
      <c r="C42" s="60" t="s">
        <v>397</v>
      </c>
      <c r="D42" s="46" t="s">
        <v>36</v>
      </c>
      <c r="E42" s="47" t="s">
        <v>104</v>
      </c>
      <c r="F42" s="46" t="s">
        <v>310</v>
      </c>
      <c r="G42" s="46" t="s">
        <v>158</v>
      </c>
      <c r="H42" s="46" t="s">
        <v>240</v>
      </c>
      <c r="I42" s="74" t="s">
        <v>312</v>
      </c>
      <c r="J42" s="74" t="s">
        <v>312</v>
      </c>
      <c r="K42" s="74" t="s">
        <v>312</v>
      </c>
      <c r="L42" s="75">
        <v>4</v>
      </c>
      <c r="M42" s="46">
        <f t="shared" si="1"/>
        <v>40</v>
      </c>
      <c r="N42" s="46">
        <v>80</v>
      </c>
      <c r="O42" s="62" t="s">
        <v>413</v>
      </c>
      <c r="P42" s="53">
        <v>2.9</v>
      </c>
      <c r="Q42" s="53">
        <f t="shared" si="2"/>
        <v>232</v>
      </c>
      <c r="R42" s="65" t="s">
        <v>414</v>
      </c>
      <c r="S42" s="70"/>
    </row>
    <row r="43" spans="1:19" ht="15.75" thickBot="1" x14ac:dyDescent="0.3">
      <c r="A43" s="1"/>
      <c r="B43" s="38">
        <f>ROW(B43) - ROW($B$9)</f>
        <v>34</v>
      </c>
      <c r="C43" s="59" t="s">
        <v>395</v>
      </c>
      <c r="D43" s="50" t="s">
        <v>37</v>
      </c>
      <c r="E43" s="51" t="s">
        <v>105</v>
      </c>
      <c r="F43" s="50" t="s">
        <v>159</v>
      </c>
      <c r="G43" s="68">
        <v>61300211121</v>
      </c>
      <c r="H43" s="50" t="s">
        <v>241</v>
      </c>
      <c r="I43" s="50" t="s">
        <v>367</v>
      </c>
      <c r="J43" s="50" t="s">
        <v>368</v>
      </c>
      <c r="K43" s="50" t="s">
        <v>312</v>
      </c>
      <c r="L43" s="51">
        <v>4</v>
      </c>
      <c r="M43" s="50">
        <f t="shared" si="1"/>
        <v>40</v>
      </c>
      <c r="N43" s="50">
        <v>50</v>
      </c>
      <c r="O43" s="63" t="s">
        <v>316</v>
      </c>
      <c r="P43" s="54">
        <v>1.4E-2</v>
      </c>
      <c r="Q43" s="54">
        <f t="shared" si="2"/>
        <v>0.70000000000000007</v>
      </c>
      <c r="R43" s="64"/>
      <c r="S43" s="52"/>
    </row>
    <row r="44" spans="1:19" ht="15.75" thickBot="1" x14ac:dyDescent="0.3">
      <c r="A44" s="1"/>
      <c r="B44" s="38">
        <f t="shared" si="0"/>
        <v>35</v>
      </c>
      <c r="C44" s="60" t="s">
        <v>395</v>
      </c>
      <c r="D44" s="46" t="s">
        <v>38</v>
      </c>
      <c r="E44" s="47" t="s">
        <v>106</v>
      </c>
      <c r="F44" s="46" t="s">
        <v>160</v>
      </c>
      <c r="G44" s="69">
        <v>61300611121</v>
      </c>
      <c r="H44" s="46" t="s">
        <v>241</v>
      </c>
      <c r="I44" s="46" t="s">
        <v>369</v>
      </c>
      <c r="J44" s="46" t="s">
        <v>370</v>
      </c>
      <c r="K44" s="46" t="s">
        <v>312</v>
      </c>
      <c r="L44" s="47">
        <v>1</v>
      </c>
      <c r="M44" s="46">
        <f t="shared" si="1"/>
        <v>10</v>
      </c>
      <c r="N44" s="46">
        <v>20</v>
      </c>
      <c r="O44" s="62" t="s">
        <v>316</v>
      </c>
      <c r="P44" s="53">
        <v>3.15E-2</v>
      </c>
      <c r="Q44" s="53">
        <f t="shared" si="2"/>
        <v>0.63</v>
      </c>
      <c r="R44" s="65"/>
      <c r="S44" s="48"/>
    </row>
    <row r="45" spans="1:19" ht="15.75" thickBot="1" x14ac:dyDescent="0.3">
      <c r="A45" s="1"/>
      <c r="B45" s="38">
        <f>ROW(B45) - ROW($B$9)</f>
        <v>36</v>
      </c>
      <c r="C45" s="59" t="s">
        <v>398</v>
      </c>
      <c r="D45" s="50" t="s">
        <v>39</v>
      </c>
      <c r="E45" s="51" t="s">
        <v>107</v>
      </c>
      <c r="F45" s="50" t="s">
        <v>161</v>
      </c>
      <c r="G45" s="50" t="s">
        <v>312</v>
      </c>
      <c r="H45" s="50" t="s">
        <v>312</v>
      </c>
      <c r="I45" s="50" t="s">
        <v>312</v>
      </c>
      <c r="J45" s="50" t="s">
        <v>312</v>
      </c>
      <c r="K45" s="50" t="s">
        <v>312</v>
      </c>
      <c r="L45" s="51">
        <v>5</v>
      </c>
      <c r="M45" s="50">
        <f t="shared" si="1"/>
        <v>50</v>
      </c>
      <c r="N45" s="50" t="s">
        <v>312</v>
      </c>
      <c r="O45" s="63" t="s">
        <v>312</v>
      </c>
      <c r="P45" s="54" t="s">
        <v>312</v>
      </c>
      <c r="Q45" s="54" t="s">
        <v>312</v>
      </c>
      <c r="R45" s="64" t="s">
        <v>312</v>
      </c>
      <c r="S45" s="52" t="s">
        <v>312</v>
      </c>
    </row>
    <row r="46" spans="1:19" ht="24.75" thickBot="1" x14ac:dyDescent="0.3">
      <c r="A46" s="1"/>
      <c r="B46" s="38">
        <f t="shared" si="0"/>
        <v>37</v>
      </c>
      <c r="C46" s="60" t="s">
        <v>399</v>
      </c>
      <c r="D46" s="46" t="s">
        <v>40</v>
      </c>
      <c r="E46" s="47" t="s">
        <v>108</v>
      </c>
      <c r="F46" s="46" t="s">
        <v>162</v>
      </c>
      <c r="G46" s="46" t="s">
        <v>201</v>
      </c>
      <c r="H46" s="46" t="s">
        <v>221</v>
      </c>
      <c r="I46" s="46" t="s">
        <v>312</v>
      </c>
      <c r="J46" s="46" t="s">
        <v>320</v>
      </c>
      <c r="K46" s="46" t="s">
        <v>279</v>
      </c>
      <c r="L46" s="47">
        <v>11</v>
      </c>
      <c r="M46" s="46">
        <f t="shared" si="1"/>
        <v>110</v>
      </c>
      <c r="N46" s="46">
        <v>200</v>
      </c>
      <c r="O46" s="62" t="s">
        <v>316</v>
      </c>
      <c r="P46" s="53">
        <v>1.6999999999999999E-3</v>
      </c>
      <c r="Q46" s="53">
        <f t="shared" si="2"/>
        <v>0.33999999999999997</v>
      </c>
      <c r="R46" s="65"/>
      <c r="S46" s="48"/>
    </row>
    <row r="47" spans="1:19" ht="36.75" thickBot="1" x14ac:dyDescent="0.3">
      <c r="A47" s="1"/>
      <c r="B47" s="38">
        <f>ROW(B47) - ROW($B$9)</f>
        <v>38</v>
      </c>
      <c r="C47" s="59" t="s">
        <v>399</v>
      </c>
      <c r="D47" s="50" t="s">
        <v>41</v>
      </c>
      <c r="E47" s="51" t="s">
        <v>109</v>
      </c>
      <c r="F47" s="50" t="s">
        <v>162</v>
      </c>
      <c r="G47" s="50" t="s">
        <v>366</v>
      </c>
      <c r="H47" s="50" t="s">
        <v>242</v>
      </c>
      <c r="I47" s="50" t="s">
        <v>312</v>
      </c>
      <c r="J47" s="50" t="s">
        <v>371</v>
      </c>
      <c r="K47" s="50" t="s">
        <v>280</v>
      </c>
      <c r="L47" s="51">
        <v>1</v>
      </c>
      <c r="M47" s="50">
        <f t="shared" si="1"/>
        <v>10</v>
      </c>
      <c r="N47" s="50">
        <v>50</v>
      </c>
      <c r="O47" s="63" t="s">
        <v>316</v>
      </c>
      <c r="P47" s="54">
        <v>4.1000000000000003E-3</v>
      </c>
      <c r="Q47" s="54">
        <f t="shared" si="2"/>
        <v>0.20500000000000002</v>
      </c>
      <c r="R47" s="64"/>
      <c r="S47" s="52"/>
    </row>
    <row r="48" spans="1:19" ht="15.75" thickBot="1" x14ac:dyDescent="0.3">
      <c r="A48" s="1"/>
      <c r="B48" s="38">
        <f t="shared" si="0"/>
        <v>39</v>
      </c>
      <c r="C48" s="60" t="s">
        <v>399</v>
      </c>
      <c r="D48" s="46" t="s">
        <v>42</v>
      </c>
      <c r="E48" s="47" t="s">
        <v>110</v>
      </c>
      <c r="F48" s="46" t="s">
        <v>162</v>
      </c>
      <c r="G48" s="46" t="s">
        <v>202</v>
      </c>
      <c r="H48" s="46" t="s">
        <v>221</v>
      </c>
      <c r="I48" s="46" t="s">
        <v>312</v>
      </c>
      <c r="J48" s="46" t="s">
        <v>342</v>
      </c>
      <c r="K48" s="46" t="s">
        <v>281</v>
      </c>
      <c r="L48" s="47">
        <v>2</v>
      </c>
      <c r="M48" s="46">
        <f t="shared" si="1"/>
        <v>20</v>
      </c>
      <c r="N48" s="46">
        <v>100</v>
      </c>
      <c r="O48" s="62" t="s">
        <v>316</v>
      </c>
      <c r="P48" s="53">
        <v>1.4E-3</v>
      </c>
      <c r="Q48" s="53">
        <f t="shared" si="2"/>
        <v>0.13999999999999999</v>
      </c>
      <c r="R48" s="65"/>
      <c r="S48" s="48"/>
    </row>
    <row r="49" spans="1:19" ht="15.75" thickBot="1" x14ac:dyDescent="0.3">
      <c r="A49" s="1"/>
      <c r="B49" s="38">
        <f>ROW(B49) - ROW($B$9)</f>
        <v>40</v>
      </c>
      <c r="C49" s="59" t="s">
        <v>399</v>
      </c>
      <c r="D49" s="50" t="s">
        <v>43</v>
      </c>
      <c r="E49" s="51" t="s">
        <v>111</v>
      </c>
      <c r="F49" s="50" t="s">
        <v>162</v>
      </c>
      <c r="G49" s="50" t="s">
        <v>203</v>
      </c>
      <c r="H49" s="50" t="s">
        <v>243</v>
      </c>
      <c r="I49" s="50" t="s">
        <v>312</v>
      </c>
      <c r="J49" s="50" t="s">
        <v>343</v>
      </c>
      <c r="K49" s="50" t="s">
        <v>282</v>
      </c>
      <c r="L49" s="51">
        <v>1</v>
      </c>
      <c r="M49" s="50">
        <f t="shared" si="1"/>
        <v>10</v>
      </c>
      <c r="N49" s="50">
        <v>100</v>
      </c>
      <c r="O49" s="63" t="s">
        <v>316</v>
      </c>
      <c r="P49" s="54">
        <v>2.2000000000000001E-3</v>
      </c>
      <c r="Q49" s="54">
        <f t="shared" si="2"/>
        <v>0.22</v>
      </c>
      <c r="R49" s="64"/>
      <c r="S49" s="52"/>
    </row>
    <row r="50" spans="1:19" ht="36.75" thickBot="1" x14ac:dyDescent="0.3">
      <c r="A50" s="1"/>
      <c r="B50" s="38">
        <f t="shared" si="0"/>
        <v>41</v>
      </c>
      <c r="C50" s="60" t="s">
        <v>399</v>
      </c>
      <c r="D50" s="46" t="s">
        <v>44</v>
      </c>
      <c r="E50" s="47" t="s">
        <v>112</v>
      </c>
      <c r="F50" s="46" t="s">
        <v>163</v>
      </c>
      <c r="G50" s="46" t="s">
        <v>372</v>
      </c>
      <c r="H50" s="46" t="s">
        <v>244</v>
      </c>
      <c r="I50" s="46" t="s">
        <v>312</v>
      </c>
      <c r="J50" s="46" t="s">
        <v>373</v>
      </c>
      <c r="K50" s="46" t="s">
        <v>283</v>
      </c>
      <c r="L50" s="47">
        <v>1</v>
      </c>
      <c r="M50" s="46">
        <f t="shared" si="1"/>
        <v>10</v>
      </c>
      <c r="N50" s="46">
        <v>20</v>
      </c>
      <c r="O50" s="62" t="s">
        <v>316</v>
      </c>
      <c r="P50" s="53">
        <v>2.5499999999999998E-2</v>
      </c>
      <c r="Q50" s="53">
        <f t="shared" si="2"/>
        <v>0.51</v>
      </c>
      <c r="R50" s="65"/>
      <c r="S50" s="48"/>
    </row>
    <row r="51" spans="1:19" ht="15.75" thickBot="1" x14ac:dyDescent="0.3">
      <c r="A51" s="1"/>
      <c r="B51" s="38">
        <f>ROW(B51) - ROW($B$9)</f>
        <v>42</v>
      </c>
      <c r="C51" s="59" t="s">
        <v>399</v>
      </c>
      <c r="D51" s="50" t="s">
        <v>45</v>
      </c>
      <c r="E51" s="51" t="s">
        <v>113</v>
      </c>
      <c r="F51" s="50" t="s">
        <v>162</v>
      </c>
      <c r="G51" s="50" t="s">
        <v>204</v>
      </c>
      <c r="H51" s="50" t="s">
        <v>221</v>
      </c>
      <c r="I51" s="50" t="s">
        <v>312</v>
      </c>
      <c r="J51" s="50" t="s">
        <v>344</v>
      </c>
      <c r="K51" s="50" t="s">
        <v>284</v>
      </c>
      <c r="L51" s="51">
        <v>1</v>
      </c>
      <c r="M51" s="50">
        <f t="shared" si="1"/>
        <v>10</v>
      </c>
      <c r="N51" s="50">
        <v>100</v>
      </c>
      <c r="O51" s="63" t="s">
        <v>316</v>
      </c>
      <c r="P51" s="54">
        <v>1.5E-3</v>
      </c>
      <c r="Q51" s="54">
        <f t="shared" si="2"/>
        <v>0.15</v>
      </c>
      <c r="R51" s="64"/>
      <c r="S51" s="52"/>
    </row>
    <row r="52" spans="1:19" ht="15.75" thickBot="1" x14ac:dyDescent="0.3">
      <c r="A52" s="1"/>
      <c r="B52" s="38">
        <f t="shared" si="0"/>
        <v>43</v>
      </c>
      <c r="C52" s="60" t="s">
        <v>399</v>
      </c>
      <c r="D52" s="46" t="s">
        <v>46</v>
      </c>
      <c r="E52" s="47" t="s">
        <v>114</v>
      </c>
      <c r="F52" s="46" t="s">
        <v>163</v>
      </c>
      <c r="G52" s="46" t="s">
        <v>205</v>
      </c>
      <c r="H52" s="46" t="s">
        <v>221</v>
      </c>
      <c r="I52" s="46" t="s">
        <v>312</v>
      </c>
      <c r="J52" s="46" t="s">
        <v>345</v>
      </c>
      <c r="K52" s="46" t="s">
        <v>285</v>
      </c>
      <c r="L52" s="47">
        <v>1</v>
      </c>
      <c r="M52" s="46">
        <f t="shared" si="1"/>
        <v>10</v>
      </c>
      <c r="N52" s="46">
        <v>20</v>
      </c>
      <c r="O52" s="62" t="s">
        <v>316</v>
      </c>
      <c r="P52" s="53">
        <v>3.7600000000000001E-2</v>
      </c>
      <c r="Q52" s="53">
        <f t="shared" si="2"/>
        <v>0.752</v>
      </c>
      <c r="R52" s="65"/>
      <c r="S52" s="48"/>
    </row>
    <row r="53" spans="1:19" ht="24.75" thickBot="1" x14ac:dyDescent="0.3">
      <c r="A53" s="1"/>
      <c r="B53" s="38">
        <f>ROW(B53) - ROW($B$9)</f>
        <v>44</v>
      </c>
      <c r="C53" s="59" t="s">
        <v>399</v>
      </c>
      <c r="D53" s="50" t="s">
        <v>47</v>
      </c>
      <c r="E53" s="51" t="s">
        <v>115</v>
      </c>
      <c r="F53" s="50" t="s">
        <v>162</v>
      </c>
      <c r="G53" s="50" t="s">
        <v>206</v>
      </c>
      <c r="H53" s="50" t="s">
        <v>221</v>
      </c>
      <c r="I53" s="50" t="s">
        <v>312</v>
      </c>
      <c r="J53" s="50" t="s">
        <v>346</v>
      </c>
      <c r="K53" s="50" t="s">
        <v>286</v>
      </c>
      <c r="L53" s="51">
        <v>1</v>
      </c>
      <c r="M53" s="50">
        <f t="shared" si="1"/>
        <v>10</v>
      </c>
      <c r="N53" s="50">
        <v>100</v>
      </c>
      <c r="O53" s="63" t="s">
        <v>316</v>
      </c>
      <c r="P53" s="54">
        <v>1.8E-3</v>
      </c>
      <c r="Q53" s="54">
        <f t="shared" si="2"/>
        <v>0.18</v>
      </c>
      <c r="R53" s="64"/>
      <c r="S53" s="52"/>
    </row>
    <row r="54" spans="1:19" ht="15.75" thickBot="1" x14ac:dyDescent="0.3">
      <c r="A54" s="1"/>
      <c r="B54" s="38">
        <f t="shared" si="0"/>
        <v>45</v>
      </c>
      <c r="C54" s="60" t="s">
        <v>399</v>
      </c>
      <c r="D54" s="46" t="s">
        <v>48</v>
      </c>
      <c r="E54" s="47" t="s">
        <v>116</v>
      </c>
      <c r="F54" s="46" t="s">
        <v>162</v>
      </c>
      <c r="G54" s="46" t="s">
        <v>207</v>
      </c>
      <c r="H54" s="46" t="s">
        <v>221</v>
      </c>
      <c r="I54" s="46" t="s">
        <v>312</v>
      </c>
      <c r="J54" s="46" t="s">
        <v>347</v>
      </c>
      <c r="K54" s="46" t="s">
        <v>287</v>
      </c>
      <c r="L54" s="47">
        <v>2</v>
      </c>
      <c r="M54" s="46">
        <f t="shared" si="1"/>
        <v>20</v>
      </c>
      <c r="N54" s="46">
        <v>100</v>
      </c>
      <c r="O54" s="62" t="s">
        <v>316</v>
      </c>
      <c r="P54" s="53">
        <v>1.2999999999999999E-3</v>
      </c>
      <c r="Q54" s="53">
        <f t="shared" si="2"/>
        <v>0.13</v>
      </c>
      <c r="R54" s="65"/>
      <c r="S54" s="48"/>
    </row>
    <row r="55" spans="1:19" ht="24.75" thickBot="1" x14ac:dyDescent="0.3">
      <c r="A55" s="1"/>
      <c r="B55" s="38">
        <f>ROW(B55) - ROW($B$9)</f>
        <v>46</v>
      </c>
      <c r="C55" s="59" t="s">
        <v>399</v>
      </c>
      <c r="D55" s="50" t="s">
        <v>49</v>
      </c>
      <c r="E55" s="51" t="s">
        <v>117</v>
      </c>
      <c r="F55" s="50" t="s">
        <v>162</v>
      </c>
      <c r="G55" s="50" t="s">
        <v>208</v>
      </c>
      <c r="H55" s="50" t="s">
        <v>221</v>
      </c>
      <c r="I55" s="50" t="s">
        <v>312</v>
      </c>
      <c r="J55" s="50" t="s">
        <v>348</v>
      </c>
      <c r="K55" s="50" t="s">
        <v>288</v>
      </c>
      <c r="L55" s="51">
        <v>1</v>
      </c>
      <c r="M55" s="50">
        <f t="shared" si="1"/>
        <v>10</v>
      </c>
      <c r="N55" s="50">
        <v>100</v>
      </c>
      <c r="O55" s="63" t="s">
        <v>316</v>
      </c>
      <c r="P55" s="54">
        <v>1.2999999999999999E-3</v>
      </c>
      <c r="Q55" s="54">
        <f t="shared" si="2"/>
        <v>0.13</v>
      </c>
      <c r="R55" s="64"/>
      <c r="S55" s="52"/>
    </row>
    <row r="56" spans="1:19" ht="15.75" thickBot="1" x14ac:dyDescent="0.3">
      <c r="A56" s="1"/>
      <c r="B56" s="38">
        <f t="shared" si="0"/>
        <v>47</v>
      </c>
      <c r="C56" s="60" t="s">
        <v>399</v>
      </c>
      <c r="D56" s="46" t="s">
        <v>50</v>
      </c>
      <c r="E56" s="47" t="s">
        <v>118</v>
      </c>
      <c r="F56" s="46" t="s">
        <v>162</v>
      </c>
      <c r="G56" s="46" t="s">
        <v>374</v>
      </c>
      <c r="H56" s="46" t="s">
        <v>221</v>
      </c>
      <c r="I56" s="46" t="s">
        <v>312</v>
      </c>
      <c r="J56" s="46" t="s">
        <v>375</v>
      </c>
      <c r="K56" s="46" t="s">
        <v>289</v>
      </c>
      <c r="L56" s="47">
        <v>1</v>
      </c>
      <c r="M56" s="46">
        <f t="shared" si="1"/>
        <v>10</v>
      </c>
      <c r="N56" s="46">
        <v>100</v>
      </c>
      <c r="O56" s="62" t="s">
        <v>316</v>
      </c>
      <c r="P56" s="53">
        <v>1.4E-3</v>
      </c>
      <c r="Q56" s="53">
        <f t="shared" si="2"/>
        <v>0.13999999999999999</v>
      </c>
      <c r="R56" s="65"/>
      <c r="S56" s="48"/>
    </row>
    <row r="57" spans="1:19" ht="15.75" thickBot="1" x14ac:dyDescent="0.3">
      <c r="A57" s="1"/>
      <c r="B57" s="38">
        <f>ROW(B57) - ROW($B$9)</f>
        <v>48</v>
      </c>
      <c r="C57" s="59" t="s">
        <v>399</v>
      </c>
      <c r="D57" s="50" t="s">
        <v>417</v>
      </c>
      <c r="E57" s="51" t="s">
        <v>119</v>
      </c>
      <c r="F57" s="50" t="s">
        <v>162</v>
      </c>
      <c r="G57" s="50" t="s">
        <v>209</v>
      </c>
      <c r="H57" s="50" t="s">
        <v>221</v>
      </c>
      <c r="I57" s="50" t="s">
        <v>312</v>
      </c>
      <c r="J57" s="50" t="s">
        <v>321</v>
      </c>
      <c r="K57" s="50" t="s">
        <v>290</v>
      </c>
      <c r="L57" s="51">
        <v>2</v>
      </c>
      <c r="M57" s="50">
        <f t="shared" si="1"/>
        <v>20</v>
      </c>
      <c r="N57" s="50">
        <v>40</v>
      </c>
      <c r="O57" s="63" t="s">
        <v>316</v>
      </c>
      <c r="P57" s="54">
        <v>3.2899999999999999E-2</v>
      </c>
      <c r="Q57" s="54">
        <f t="shared" si="2"/>
        <v>1.3159999999999998</v>
      </c>
      <c r="R57" s="64"/>
      <c r="S57" s="52"/>
    </row>
    <row r="58" spans="1:19" ht="15.75" thickBot="1" x14ac:dyDescent="0.3">
      <c r="A58" s="1"/>
      <c r="B58" s="38">
        <f t="shared" si="0"/>
        <v>49</v>
      </c>
      <c r="C58" s="60" t="s">
        <v>399</v>
      </c>
      <c r="D58" s="46" t="s">
        <v>51</v>
      </c>
      <c r="E58" s="47" t="s">
        <v>120</v>
      </c>
      <c r="F58" s="46" t="s">
        <v>162</v>
      </c>
      <c r="G58" s="69" t="s">
        <v>210</v>
      </c>
      <c r="H58" s="46" t="s">
        <v>221</v>
      </c>
      <c r="I58" s="46" t="s">
        <v>388</v>
      </c>
      <c r="J58" s="46" t="s">
        <v>389</v>
      </c>
      <c r="K58" s="46" t="s">
        <v>291</v>
      </c>
      <c r="L58" s="47">
        <v>4</v>
      </c>
      <c r="M58" s="46">
        <f t="shared" si="1"/>
        <v>40</v>
      </c>
      <c r="N58" s="46">
        <v>50</v>
      </c>
      <c r="O58" s="62" t="s">
        <v>316</v>
      </c>
      <c r="P58" s="53">
        <v>7.1999999999999998E-3</v>
      </c>
      <c r="Q58" s="53">
        <f t="shared" si="2"/>
        <v>0.36</v>
      </c>
      <c r="R58" s="65"/>
      <c r="S58" s="48"/>
    </row>
    <row r="59" spans="1:19" ht="24.75" thickBot="1" x14ac:dyDescent="0.3">
      <c r="A59" s="1"/>
      <c r="B59" s="38">
        <f>ROW(B59) - ROW($B$9)</f>
        <v>50</v>
      </c>
      <c r="C59" s="59" t="s">
        <v>399</v>
      </c>
      <c r="D59" s="50" t="s">
        <v>52</v>
      </c>
      <c r="E59" s="51" t="s">
        <v>121</v>
      </c>
      <c r="F59" s="50" t="s">
        <v>162</v>
      </c>
      <c r="G59" s="50" t="s">
        <v>211</v>
      </c>
      <c r="H59" s="50" t="s">
        <v>221</v>
      </c>
      <c r="I59" s="50"/>
      <c r="J59" s="50" t="s">
        <v>349</v>
      </c>
      <c r="K59" s="50" t="s">
        <v>292</v>
      </c>
      <c r="L59" s="51">
        <v>2</v>
      </c>
      <c r="M59" s="50">
        <f t="shared" si="1"/>
        <v>20</v>
      </c>
      <c r="N59" s="50">
        <v>40</v>
      </c>
      <c r="O59" s="63" t="s">
        <v>316</v>
      </c>
      <c r="P59" s="54">
        <v>3.5499999999999997E-2</v>
      </c>
      <c r="Q59" s="54">
        <f t="shared" si="2"/>
        <v>1.42</v>
      </c>
      <c r="R59" s="64"/>
      <c r="S59" s="52"/>
    </row>
    <row r="60" spans="1:19" ht="15.75" thickBot="1" x14ac:dyDescent="0.3">
      <c r="A60" s="1"/>
      <c r="B60" s="38">
        <f t="shared" si="0"/>
        <v>51</v>
      </c>
      <c r="C60" s="60" t="s">
        <v>399</v>
      </c>
      <c r="D60" s="46" t="s">
        <v>53</v>
      </c>
      <c r="E60" s="47" t="s">
        <v>122</v>
      </c>
      <c r="F60" s="46" t="s">
        <v>164</v>
      </c>
      <c r="G60" s="46" t="s">
        <v>212</v>
      </c>
      <c r="H60" s="46" t="s">
        <v>221</v>
      </c>
      <c r="I60" s="46" t="s">
        <v>312</v>
      </c>
      <c r="J60" s="46" t="s">
        <v>350</v>
      </c>
      <c r="K60" s="46" t="s">
        <v>293</v>
      </c>
      <c r="L60" s="47">
        <v>1</v>
      </c>
      <c r="M60" s="46">
        <f t="shared" si="1"/>
        <v>10</v>
      </c>
      <c r="N60" s="46">
        <v>20</v>
      </c>
      <c r="O60" s="62" t="s">
        <v>316</v>
      </c>
      <c r="P60" s="53">
        <v>3.9100000000000003E-2</v>
      </c>
      <c r="Q60" s="53">
        <f t="shared" si="2"/>
        <v>0.78200000000000003</v>
      </c>
      <c r="R60" s="65"/>
      <c r="S60" s="48"/>
    </row>
    <row r="61" spans="1:19" ht="15.75" thickBot="1" x14ac:dyDescent="0.3">
      <c r="A61" s="1"/>
      <c r="B61" s="38">
        <f t="shared" si="0"/>
        <v>52</v>
      </c>
      <c r="C61" s="59" t="s">
        <v>399</v>
      </c>
      <c r="D61" s="50" t="s">
        <v>54</v>
      </c>
      <c r="E61" s="51" t="s">
        <v>123</v>
      </c>
      <c r="F61" s="50" t="s">
        <v>162</v>
      </c>
      <c r="G61" s="50" t="s">
        <v>213</v>
      </c>
      <c r="H61" s="50" t="s">
        <v>221</v>
      </c>
      <c r="I61" s="50"/>
      <c r="J61" s="50" t="s">
        <v>351</v>
      </c>
      <c r="K61" s="50" t="s">
        <v>294</v>
      </c>
      <c r="L61" s="51">
        <v>1</v>
      </c>
      <c r="M61" s="50">
        <f t="shared" si="1"/>
        <v>10</v>
      </c>
      <c r="N61" s="50">
        <v>50</v>
      </c>
      <c r="O61" s="63" t="s">
        <v>316</v>
      </c>
      <c r="P61" s="54">
        <v>1.43E-2</v>
      </c>
      <c r="Q61" s="54">
        <f t="shared" si="2"/>
        <v>0.71499999999999997</v>
      </c>
      <c r="R61" s="64"/>
      <c r="S61" s="52"/>
    </row>
    <row r="62" spans="1:19" ht="15.75" thickBot="1" x14ac:dyDescent="0.3">
      <c r="A62" s="1"/>
      <c r="B62" s="38">
        <f>ROW(B62) - ROW($B$9)</f>
        <v>53</v>
      </c>
      <c r="C62" s="60" t="s">
        <v>399</v>
      </c>
      <c r="D62" s="46" t="s">
        <v>55</v>
      </c>
      <c r="E62" s="47" t="s">
        <v>124</v>
      </c>
      <c r="F62" s="46" t="s">
        <v>162</v>
      </c>
      <c r="G62" s="46" t="s">
        <v>214</v>
      </c>
      <c r="H62" s="46" t="s">
        <v>221</v>
      </c>
      <c r="I62" s="46"/>
      <c r="J62" s="46" t="s">
        <v>352</v>
      </c>
      <c r="K62" s="46" t="s">
        <v>295</v>
      </c>
      <c r="L62" s="47">
        <v>2</v>
      </c>
      <c r="M62" s="46">
        <f t="shared" si="1"/>
        <v>20</v>
      </c>
      <c r="N62" s="46">
        <v>100</v>
      </c>
      <c r="O62" s="62" t="s">
        <v>316</v>
      </c>
      <c r="P62" s="53">
        <v>1E-3</v>
      </c>
      <c r="Q62" s="53">
        <f t="shared" si="2"/>
        <v>0.1</v>
      </c>
      <c r="R62" s="65"/>
      <c r="S62" s="48"/>
    </row>
    <row r="63" spans="1:19" ht="24.75" thickBot="1" x14ac:dyDescent="0.3">
      <c r="A63" s="1"/>
      <c r="B63" s="38">
        <f t="shared" si="0"/>
        <v>54</v>
      </c>
      <c r="C63" s="59" t="s">
        <v>165</v>
      </c>
      <c r="D63" s="50" t="s">
        <v>56</v>
      </c>
      <c r="E63" s="51" t="s">
        <v>125</v>
      </c>
      <c r="F63" s="50" t="s">
        <v>165</v>
      </c>
      <c r="G63" s="50" t="s">
        <v>312</v>
      </c>
      <c r="H63" s="50" t="s">
        <v>312</v>
      </c>
      <c r="I63" s="50" t="s">
        <v>312</v>
      </c>
      <c r="J63" s="50" t="s">
        <v>312</v>
      </c>
      <c r="K63" s="50" t="s">
        <v>312</v>
      </c>
      <c r="L63" s="51">
        <v>9</v>
      </c>
      <c r="M63" s="50">
        <f t="shared" si="1"/>
        <v>90</v>
      </c>
      <c r="N63" s="50" t="s">
        <v>312</v>
      </c>
      <c r="O63" s="63" t="s">
        <v>312</v>
      </c>
      <c r="P63" s="54" t="s">
        <v>312</v>
      </c>
      <c r="Q63" s="54" t="s">
        <v>312</v>
      </c>
      <c r="R63" s="64" t="s">
        <v>312</v>
      </c>
      <c r="S63" s="52" t="s">
        <v>312</v>
      </c>
    </row>
    <row r="64" spans="1:19" ht="36.75" thickBot="1" x14ac:dyDescent="0.3">
      <c r="A64" s="1"/>
      <c r="B64" s="38">
        <f>ROW(B64) - ROW($B$9)</f>
        <v>55</v>
      </c>
      <c r="C64" s="60" t="s">
        <v>400</v>
      </c>
      <c r="D64" s="46" t="s">
        <v>57</v>
      </c>
      <c r="E64" s="47" t="s">
        <v>126</v>
      </c>
      <c r="F64" s="46" t="s">
        <v>310</v>
      </c>
      <c r="G64" s="46" t="s">
        <v>166</v>
      </c>
      <c r="H64" s="46" t="s">
        <v>245</v>
      </c>
      <c r="I64" s="46" t="s">
        <v>312</v>
      </c>
      <c r="J64" s="46" t="s">
        <v>353</v>
      </c>
      <c r="K64" s="46" t="s">
        <v>312</v>
      </c>
      <c r="L64" s="47">
        <v>1</v>
      </c>
      <c r="M64" s="46">
        <f t="shared" si="1"/>
        <v>10</v>
      </c>
      <c r="N64" s="46">
        <v>20</v>
      </c>
      <c r="O64" s="62" t="s">
        <v>316</v>
      </c>
      <c r="P64" s="53">
        <v>6.1899999999999997E-2</v>
      </c>
      <c r="Q64" s="53">
        <f t="shared" si="2"/>
        <v>1.238</v>
      </c>
      <c r="R64" s="65"/>
      <c r="S64" s="48"/>
    </row>
    <row r="65" spans="1:19" ht="15.75" thickBot="1" x14ac:dyDescent="0.3">
      <c r="A65" s="1"/>
      <c r="B65" s="38">
        <f t="shared" si="0"/>
        <v>56</v>
      </c>
      <c r="C65" s="59" t="s">
        <v>401</v>
      </c>
      <c r="D65" s="50" t="s">
        <v>58</v>
      </c>
      <c r="E65" s="51" t="s">
        <v>127</v>
      </c>
      <c r="F65" s="50" t="s">
        <v>167</v>
      </c>
      <c r="G65" s="50" t="s">
        <v>215</v>
      </c>
      <c r="H65" s="50" t="s">
        <v>246</v>
      </c>
      <c r="I65" s="50" t="s">
        <v>312</v>
      </c>
      <c r="J65" s="50" t="s">
        <v>392</v>
      </c>
      <c r="K65" s="50" t="s">
        <v>312</v>
      </c>
      <c r="L65" s="51">
        <v>1</v>
      </c>
      <c r="M65" s="50">
        <f t="shared" si="1"/>
        <v>10</v>
      </c>
      <c r="N65" s="50">
        <v>11</v>
      </c>
      <c r="O65" s="63" t="s">
        <v>316</v>
      </c>
      <c r="P65" s="54">
        <v>1.9761</v>
      </c>
      <c r="Q65" s="54">
        <f t="shared" si="2"/>
        <v>21.737099999999998</v>
      </c>
      <c r="R65" s="64" t="s">
        <v>393</v>
      </c>
      <c r="S65" s="52"/>
    </row>
    <row r="66" spans="1:19" ht="15.75" thickBot="1" x14ac:dyDescent="0.3">
      <c r="A66" s="1"/>
      <c r="B66" s="38">
        <f>ROW(B66) - ROW($B$9)</f>
        <v>57</v>
      </c>
      <c r="C66" s="60" t="s">
        <v>401</v>
      </c>
      <c r="D66" s="46" t="s">
        <v>59</v>
      </c>
      <c r="E66" s="47" t="s">
        <v>128</v>
      </c>
      <c r="F66" s="46" t="s">
        <v>168</v>
      </c>
      <c r="G66" s="46" t="s">
        <v>216</v>
      </c>
      <c r="H66" s="46" t="s">
        <v>247</v>
      </c>
      <c r="I66" s="46" t="s">
        <v>312</v>
      </c>
      <c r="J66" s="46" t="s">
        <v>376</v>
      </c>
      <c r="K66" s="46" t="s">
        <v>312</v>
      </c>
      <c r="L66" s="47">
        <v>1</v>
      </c>
      <c r="M66" s="46">
        <f t="shared" si="1"/>
        <v>10</v>
      </c>
      <c r="N66" s="46">
        <v>11</v>
      </c>
      <c r="O66" s="62" t="s">
        <v>316</v>
      </c>
      <c r="P66" s="53">
        <v>0.4269</v>
      </c>
      <c r="Q66" s="53">
        <f t="shared" si="2"/>
        <v>4.6959</v>
      </c>
      <c r="R66" s="65"/>
      <c r="S66" s="48"/>
    </row>
    <row r="67" spans="1:19" ht="15.75" thickBot="1" x14ac:dyDescent="0.3">
      <c r="A67" s="1"/>
      <c r="B67" s="38">
        <f t="shared" si="0"/>
        <v>58</v>
      </c>
      <c r="C67" s="59" t="s">
        <v>401</v>
      </c>
      <c r="D67" s="50" t="s">
        <v>60</v>
      </c>
      <c r="E67" s="51" t="s">
        <v>129</v>
      </c>
      <c r="F67" s="50" t="s">
        <v>390</v>
      </c>
      <c r="G67" s="50" t="s">
        <v>169</v>
      </c>
      <c r="H67" s="50" t="s">
        <v>247</v>
      </c>
      <c r="I67" s="50" t="s">
        <v>312</v>
      </c>
      <c r="J67" s="50" t="s">
        <v>354</v>
      </c>
      <c r="K67" s="50" t="s">
        <v>312</v>
      </c>
      <c r="L67" s="51">
        <v>1</v>
      </c>
      <c r="M67" s="50">
        <f t="shared" si="1"/>
        <v>10</v>
      </c>
      <c r="N67" s="50">
        <v>11</v>
      </c>
      <c r="O67" s="63" t="s">
        <v>316</v>
      </c>
      <c r="P67" s="54">
        <v>0.44240000000000002</v>
      </c>
      <c r="Q67" s="54">
        <f t="shared" si="2"/>
        <v>4.8664000000000005</v>
      </c>
      <c r="R67" s="64"/>
      <c r="S67" s="52"/>
    </row>
    <row r="68" spans="1:19" ht="15.75" thickBot="1" x14ac:dyDescent="0.3">
      <c r="A68" s="1"/>
      <c r="B68" s="38">
        <f>ROW(B68) - ROW($B$9)</f>
        <v>59</v>
      </c>
      <c r="C68" s="60" t="s">
        <v>401</v>
      </c>
      <c r="D68" s="46" t="s">
        <v>61</v>
      </c>
      <c r="E68" s="47" t="s">
        <v>130</v>
      </c>
      <c r="F68" s="46" t="s">
        <v>310</v>
      </c>
      <c r="G68" s="46" t="s">
        <v>170</v>
      </c>
      <c r="H68" s="46" t="s">
        <v>248</v>
      </c>
      <c r="I68" s="46" t="s">
        <v>312</v>
      </c>
      <c r="J68" s="46" t="s">
        <v>355</v>
      </c>
      <c r="K68" s="46" t="s">
        <v>312</v>
      </c>
      <c r="L68" s="47">
        <v>1</v>
      </c>
      <c r="M68" s="46">
        <f t="shared" si="1"/>
        <v>10</v>
      </c>
      <c r="N68" s="46">
        <v>11</v>
      </c>
      <c r="O68" s="62" t="s">
        <v>316</v>
      </c>
      <c r="P68" s="53">
        <v>1.6232</v>
      </c>
      <c r="Q68" s="53">
        <f t="shared" si="2"/>
        <v>17.8552</v>
      </c>
      <c r="R68" s="65"/>
      <c r="S68" s="48"/>
    </row>
    <row r="69" spans="1:19" ht="36.75" thickBot="1" x14ac:dyDescent="0.3">
      <c r="A69" s="1"/>
      <c r="B69" s="38">
        <f t="shared" si="0"/>
        <v>60</v>
      </c>
      <c r="C69" s="59" t="s">
        <v>401</v>
      </c>
      <c r="D69" s="50" t="s">
        <v>62</v>
      </c>
      <c r="E69" s="51" t="s">
        <v>131</v>
      </c>
      <c r="F69" s="50" t="s">
        <v>167</v>
      </c>
      <c r="G69" s="50" t="s">
        <v>171</v>
      </c>
      <c r="H69" s="50" t="s">
        <v>249</v>
      </c>
      <c r="I69" s="50" t="s">
        <v>312</v>
      </c>
      <c r="J69" s="50" t="s">
        <v>356</v>
      </c>
      <c r="K69" s="50" t="s">
        <v>312</v>
      </c>
      <c r="L69" s="51">
        <v>1</v>
      </c>
      <c r="M69" s="50">
        <f t="shared" ref="M69:M77" si="3">L69*10</f>
        <v>10</v>
      </c>
      <c r="N69" s="50">
        <v>20</v>
      </c>
      <c r="O69" s="63" t="s">
        <v>316</v>
      </c>
      <c r="P69" s="54">
        <v>5.6399999999999999E-2</v>
      </c>
      <c r="Q69" s="54">
        <f t="shared" ref="Q69:Q77" si="4">P69*N69</f>
        <v>1.1279999999999999</v>
      </c>
      <c r="R69" s="64"/>
      <c r="S69" s="52"/>
    </row>
    <row r="70" spans="1:19" ht="15.75" thickBot="1" x14ac:dyDescent="0.3">
      <c r="A70" s="1"/>
      <c r="B70" s="38">
        <f>ROW(B70) - ROW($B$9)</f>
        <v>61</v>
      </c>
      <c r="C70" s="60" t="s">
        <v>401</v>
      </c>
      <c r="D70" s="46" t="s">
        <v>63</v>
      </c>
      <c r="E70" s="47" t="s">
        <v>132</v>
      </c>
      <c r="F70" s="46" t="s">
        <v>391</v>
      </c>
      <c r="G70" s="46" t="s">
        <v>172</v>
      </c>
      <c r="H70" s="46" t="s">
        <v>247</v>
      </c>
      <c r="I70" s="46" t="s">
        <v>312</v>
      </c>
      <c r="J70" s="46" t="s">
        <v>357</v>
      </c>
      <c r="K70" s="46" t="s">
        <v>312</v>
      </c>
      <c r="L70" s="47">
        <v>1</v>
      </c>
      <c r="M70" s="46">
        <f t="shared" si="3"/>
        <v>10</v>
      </c>
      <c r="N70" s="46">
        <v>11</v>
      </c>
      <c r="O70" s="62" t="s">
        <v>316</v>
      </c>
      <c r="P70" s="53">
        <v>3.9367000000000001</v>
      </c>
      <c r="Q70" s="53">
        <f t="shared" si="4"/>
        <v>43.303699999999999</v>
      </c>
      <c r="R70" s="65"/>
      <c r="S70" s="48"/>
    </row>
    <row r="71" spans="1:19" ht="15.75" thickBot="1" x14ac:dyDescent="0.3">
      <c r="A71" s="1"/>
      <c r="B71" s="38">
        <f t="shared" si="0"/>
        <v>62</v>
      </c>
      <c r="C71" s="59" t="s">
        <v>401</v>
      </c>
      <c r="D71" s="50" t="s">
        <v>64</v>
      </c>
      <c r="E71" s="51" t="s">
        <v>133</v>
      </c>
      <c r="F71" s="50" t="s">
        <v>173</v>
      </c>
      <c r="G71" s="50" t="s">
        <v>217</v>
      </c>
      <c r="H71" s="50" t="s">
        <v>250</v>
      </c>
      <c r="I71" s="50" t="s">
        <v>312</v>
      </c>
      <c r="J71" s="50" t="s">
        <v>358</v>
      </c>
      <c r="K71" s="50" t="s">
        <v>312</v>
      </c>
      <c r="L71" s="51">
        <v>1</v>
      </c>
      <c r="M71" s="50">
        <f t="shared" si="3"/>
        <v>10</v>
      </c>
      <c r="N71" s="50">
        <v>11</v>
      </c>
      <c r="O71" s="63" t="s">
        <v>316</v>
      </c>
      <c r="P71" s="54">
        <v>0.94330000000000003</v>
      </c>
      <c r="Q71" s="54">
        <f t="shared" si="4"/>
        <v>10.376300000000001</v>
      </c>
      <c r="R71" s="64"/>
      <c r="S71" s="52"/>
    </row>
    <row r="72" spans="1:19" ht="15.75" thickBot="1" x14ac:dyDescent="0.3">
      <c r="A72" s="1"/>
      <c r="B72" s="38">
        <f>ROW(B72) - ROW($B$9)</f>
        <v>63</v>
      </c>
      <c r="C72" s="60" t="s">
        <v>401</v>
      </c>
      <c r="D72" s="46" t="s">
        <v>65</v>
      </c>
      <c r="E72" s="47" t="s">
        <v>134</v>
      </c>
      <c r="F72" s="46" t="s">
        <v>174</v>
      </c>
      <c r="G72" s="46" t="s">
        <v>218</v>
      </c>
      <c r="H72" s="46" t="s">
        <v>247</v>
      </c>
      <c r="I72" s="46" t="s">
        <v>312</v>
      </c>
      <c r="J72" s="46" t="s">
        <v>359</v>
      </c>
      <c r="K72" s="46" t="s">
        <v>312</v>
      </c>
      <c r="L72" s="47">
        <v>1</v>
      </c>
      <c r="M72" s="46">
        <f t="shared" si="3"/>
        <v>10</v>
      </c>
      <c r="N72" s="46">
        <v>11</v>
      </c>
      <c r="O72" s="62" t="s">
        <v>316</v>
      </c>
      <c r="P72" s="53">
        <v>0.72819999999999996</v>
      </c>
      <c r="Q72" s="53">
        <f t="shared" si="4"/>
        <v>8.0101999999999993</v>
      </c>
      <c r="R72" s="65"/>
      <c r="S72" s="48"/>
    </row>
    <row r="73" spans="1:19" ht="24.75" thickBot="1" x14ac:dyDescent="0.3">
      <c r="A73" s="1"/>
      <c r="B73" s="38">
        <f t="shared" si="0"/>
        <v>64</v>
      </c>
      <c r="C73" s="59" t="s">
        <v>401</v>
      </c>
      <c r="D73" s="50" t="s">
        <v>66</v>
      </c>
      <c r="E73" s="51" t="s">
        <v>135</v>
      </c>
      <c r="F73" s="50" t="s">
        <v>175</v>
      </c>
      <c r="G73" s="50" t="s">
        <v>219</v>
      </c>
      <c r="H73" s="50" t="s">
        <v>247</v>
      </c>
      <c r="I73" s="50" t="s">
        <v>312</v>
      </c>
      <c r="J73" s="50" t="s">
        <v>360</v>
      </c>
      <c r="K73" s="50" t="s">
        <v>312</v>
      </c>
      <c r="L73" s="51">
        <v>1</v>
      </c>
      <c r="M73" s="50">
        <f t="shared" si="3"/>
        <v>10</v>
      </c>
      <c r="N73" s="50">
        <v>11</v>
      </c>
      <c r="O73" s="63" t="s">
        <v>316</v>
      </c>
      <c r="P73" s="54">
        <v>1.3220000000000001</v>
      </c>
      <c r="Q73" s="54">
        <f t="shared" si="4"/>
        <v>14.542000000000002</v>
      </c>
      <c r="R73" s="64"/>
      <c r="S73" s="52"/>
    </row>
    <row r="74" spans="1:19" ht="45.75" thickBot="1" x14ac:dyDescent="0.3">
      <c r="A74" s="1"/>
      <c r="B74" s="38">
        <f>ROW(B74) - ROW($B$9)</f>
        <v>65</v>
      </c>
      <c r="C74" s="60" t="s">
        <v>401</v>
      </c>
      <c r="D74" s="46" t="s">
        <v>67</v>
      </c>
      <c r="E74" s="47" t="s">
        <v>136</v>
      </c>
      <c r="F74" s="46" t="s">
        <v>310</v>
      </c>
      <c r="G74" s="46" t="s">
        <v>176</v>
      </c>
      <c r="H74" s="46" t="s">
        <v>251</v>
      </c>
      <c r="I74" s="46" t="s">
        <v>312</v>
      </c>
      <c r="J74" s="46" t="s">
        <v>312</v>
      </c>
      <c r="K74" s="46" t="s">
        <v>312</v>
      </c>
      <c r="L74" s="47">
        <v>1</v>
      </c>
      <c r="M74" s="46">
        <f t="shared" si="3"/>
        <v>10</v>
      </c>
      <c r="N74" s="46">
        <v>11</v>
      </c>
      <c r="O74" s="62" t="s">
        <v>413</v>
      </c>
      <c r="P74" s="53">
        <v>1.1599999999999999</v>
      </c>
      <c r="Q74" s="53">
        <f t="shared" si="4"/>
        <v>12.76</v>
      </c>
      <c r="R74" s="72" t="s">
        <v>414</v>
      </c>
      <c r="S74" s="70"/>
    </row>
    <row r="75" spans="1:19" ht="45.75" thickBot="1" x14ac:dyDescent="0.3">
      <c r="A75" s="1"/>
      <c r="B75" s="38">
        <f t="shared" si="0"/>
        <v>66</v>
      </c>
      <c r="C75" s="59" t="s">
        <v>401</v>
      </c>
      <c r="D75" s="50" t="s">
        <v>68</v>
      </c>
      <c r="E75" s="51" t="s">
        <v>137</v>
      </c>
      <c r="F75" s="50" t="s">
        <v>168</v>
      </c>
      <c r="G75" s="68">
        <v>4677</v>
      </c>
      <c r="H75" s="50" t="s">
        <v>252</v>
      </c>
      <c r="I75" s="50" t="s">
        <v>415</v>
      </c>
      <c r="J75" s="50" t="s">
        <v>416</v>
      </c>
      <c r="K75" s="50" t="s">
        <v>312</v>
      </c>
      <c r="L75" s="51">
        <v>1</v>
      </c>
      <c r="M75" s="50">
        <f t="shared" si="3"/>
        <v>10</v>
      </c>
      <c r="N75" s="50">
        <v>11</v>
      </c>
      <c r="O75" s="63" t="s">
        <v>413</v>
      </c>
      <c r="P75" s="54">
        <v>2.7662</v>
      </c>
      <c r="Q75" s="54">
        <f t="shared" si="4"/>
        <v>30.4282</v>
      </c>
      <c r="R75" s="73"/>
      <c r="S75" s="71"/>
    </row>
    <row r="76" spans="1:19" ht="36.75" thickBot="1" x14ac:dyDescent="0.3">
      <c r="A76" s="1"/>
      <c r="B76" s="38">
        <f>ROW(B76) - ROW($B$9)</f>
        <v>67</v>
      </c>
      <c r="C76" s="60" t="s">
        <v>402</v>
      </c>
      <c r="D76" s="46" t="s">
        <v>69</v>
      </c>
      <c r="E76" s="47" t="s">
        <v>138</v>
      </c>
      <c r="F76" s="46" t="s">
        <v>310</v>
      </c>
      <c r="G76" s="46" t="s">
        <v>177</v>
      </c>
      <c r="H76" s="46" t="s">
        <v>253</v>
      </c>
      <c r="I76" s="46" t="s">
        <v>312</v>
      </c>
      <c r="J76" s="46" t="s">
        <v>361</v>
      </c>
      <c r="K76" s="46" t="s">
        <v>296</v>
      </c>
      <c r="L76" s="47">
        <v>1</v>
      </c>
      <c r="M76" s="46">
        <f t="shared" si="3"/>
        <v>10</v>
      </c>
      <c r="N76" s="46">
        <v>15</v>
      </c>
      <c r="O76" s="62" t="s">
        <v>316</v>
      </c>
      <c r="P76" s="53">
        <v>0.09</v>
      </c>
      <c r="Q76" s="53">
        <f t="shared" si="4"/>
        <v>1.3499999999999999</v>
      </c>
      <c r="R76" s="65"/>
      <c r="S76" s="48"/>
    </row>
    <row r="77" spans="1:19" ht="36.75" thickBot="1" x14ac:dyDescent="0.3">
      <c r="A77" s="1"/>
      <c r="B77" s="38">
        <f t="shared" si="0"/>
        <v>68</v>
      </c>
      <c r="C77" s="59" t="s">
        <v>402</v>
      </c>
      <c r="D77" s="50" t="s">
        <v>70</v>
      </c>
      <c r="E77" s="51" t="s">
        <v>139</v>
      </c>
      <c r="F77" s="50" t="s">
        <v>310</v>
      </c>
      <c r="G77" s="50" t="s">
        <v>178</v>
      </c>
      <c r="H77" s="50" t="s">
        <v>254</v>
      </c>
      <c r="I77" s="50" t="s">
        <v>312</v>
      </c>
      <c r="J77" s="50" t="s">
        <v>362</v>
      </c>
      <c r="K77" s="50" t="s">
        <v>297</v>
      </c>
      <c r="L77" s="51">
        <v>1</v>
      </c>
      <c r="M77" s="50">
        <f t="shared" si="3"/>
        <v>10</v>
      </c>
      <c r="N77" s="50">
        <v>15</v>
      </c>
      <c r="O77" s="63" t="s">
        <v>316</v>
      </c>
      <c r="P77" s="54">
        <v>6.5100000000000005E-2</v>
      </c>
      <c r="Q77" s="54">
        <f t="shared" si="4"/>
        <v>0.97650000000000003</v>
      </c>
      <c r="R77" s="64"/>
      <c r="S77" s="52"/>
    </row>
    <row r="78" spans="1:19" ht="19.5" thickBot="1" x14ac:dyDescent="0.3">
      <c r="A78" s="1"/>
      <c r="B78" s="33"/>
      <c r="C78" s="44"/>
      <c r="D78" s="34"/>
      <c r="E78" s="35"/>
      <c r="F78" s="36"/>
      <c r="G78" s="37"/>
      <c r="H78" s="36"/>
      <c r="I78" s="37"/>
      <c r="J78" s="36"/>
      <c r="K78" s="37"/>
      <c r="L78" s="37"/>
      <c r="M78" s="37"/>
      <c r="N78" s="86" t="s">
        <v>405</v>
      </c>
      <c r="O78" s="87"/>
      <c r="P78" s="87"/>
      <c r="Q78" s="66">
        <f>SUM(Q10:Q77)</f>
        <v>464.62409999999994</v>
      </c>
      <c r="R78" s="82"/>
      <c r="S78" s="83"/>
    </row>
    <row r="79" spans="1:19" ht="19.5" thickBot="1" x14ac:dyDescent="0.3">
      <c r="A79" s="1"/>
      <c r="B79" s="25"/>
      <c r="C79" s="45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86" t="s">
        <v>406</v>
      </c>
      <c r="O79" s="87"/>
      <c r="P79" s="87"/>
      <c r="Q79" s="67">
        <f>Q78/10</f>
        <v>46.462409999999991</v>
      </c>
      <c r="R79" s="84"/>
      <c r="S79" s="85"/>
    </row>
  </sheetData>
  <mergeCells count="5">
    <mergeCell ref="K1:S1"/>
    <mergeCell ref="S3:S8"/>
    <mergeCell ref="R78:S79"/>
    <mergeCell ref="N78:P78"/>
    <mergeCell ref="N79:P79"/>
  </mergeCells>
  <hyperlinks>
    <hyperlink ref="O18" r:id="rId1" xr:uid="{555D2ED8-9598-4F04-A29C-B2191786B31F}"/>
    <hyperlink ref="O32" r:id="rId2" xr:uid="{49A618E0-394E-485E-95DE-5840EF2248A1}"/>
    <hyperlink ref="O35" r:id="rId3" xr:uid="{FCDD50F9-179E-4F4C-9D02-96DDE7B9622D}"/>
    <hyperlink ref="O33" r:id="rId4" xr:uid="{651A0A39-5CC2-48B9-A83F-14DBF6F4F34C}"/>
    <hyperlink ref="O46" r:id="rId5" xr:uid="{75081537-5144-40C5-A972-F21F19F0BD3F}"/>
    <hyperlink ref="O57" r:id="rId6" xr:uid="{A026E52A-497D-45AF-81AF-161036BD67DD}"/>
    <hyperlink ref="O10" r:id="rId7" xr:uid="{CE33F638-0650-4075-9D24-9DC0EE24C76E}"/>
    <hyperlink ref="O13" r:id="rId8" xr:uid="{D4E1EC75-7F56-4D22-ADA6-CFE6FFC1872F}"/>
    <hyperlink ref="O14" r:id="rId9" xr:uid="{226D0111-5B69-4FBA-8572-1B5BC54DAFE8}"/>
    <hyperlink ref="O15" r:id="rId10" xr:uid="{285211AF-882C-4DEA-8FA4-BA4D841106DE}"/>
    <hyperlink ref="O17" r:id="rId11" xr:uid="{2DE4352B-08D1-4CFA-AFBD-8531C9B58500}"/>
    <hyperlink ref="O20" r:id="rId12" xr:uid="{B4CDEF8B-CEC7-43A0-A9F6-56EAEEDDBE24}"/>
    <hyperlink ref="O21" r:id="rId13" xr:uid="{2CEE3725-F70A-451E-A380-7511EA16061C}"/>
    <hyperlink ref="O22" r:id="rId14" xr:uid="{5862839D-C5EC-4A40-934C-A9C57E4BECC7}"/>
    <hyperlink ref="O23" r:id="rId15" xr:uid="{7B04A431-944E-4A4A-997B-EC4F1D76DC6B}"/>
    <hyperlink ref="O24" r:id="rId16" xr:uid="{DA9E30EA-7990-4FA1-A832-0FDE709D02A1}"/>
    <hyperlink ref="O26" r:id="rId17" xr:uid="{335E1895-5860-4841-A6ED-952BDA93085A}"/>
    <hyperlink ref="O27" r:id="rId18" xr:uid="{06D36592-DA49-4ABF-B5C9-1D3B86FE13B5}"/>
    <hyperlink ref="O28" r:id="rId19" xr:uid="{8F178DE8-2DD2-4D57-BE91-D1E745FFEB73}"/>
    <hyperlink ref="O30" r:id="rId20" xr:uid="{9FFDFF22-06D8-4ED4-8A9B-DFB2463CDC89}"/>
    <hyperlink ref="O31" r:id="rId21" xr:uid="{16D6D382-09C3-4775-AAAA-FC0295F78BB3}"/>
    <hyperlink ref="O36" r:id="rId22" xr:uid="{E5E4CFE6-BE6E-478D-A1CF-E49BA204E382}"/>
    <hyperlink ref="O37" r:id="rId23" xr:uid="{6E6C19CB-15D1-44AB-9917-75FCAAE2FD24}"/>
    <hyperlink ref="O39" r:id="rId24" xr:uid="{29B7F5E8-2DFF-44D7-B091-DCEFE06E7C83}"/>
    <hyperlink ref="O40" r:id="rId25" xr:uid="{E0C9FF27-6C36-4E03-AD5E-39435BA180EA}"/>
    <hyperlink ref="O41" r:id="rId26" xr:uid="{4312D63B-0298-4960-B515-771D3E8B85CC}"/>
    <hyperlink ref="O43" r:id="rId27" xr:uid="{CF9E712A-1F1E-4155-8BD6-0FC723B65B14}"/>
    <hyperlink ref="O44" r:id="rId28" xr:uid="{7821C627-2282-46BB-93D0-B1552EBB9F32}"/>
    <hyperlink ref="O47" r:id="rId29" xr:uid="{6B13A082-931D-4827-A6EA-6926CBA6F3BC}"/>
    <hyperlink ref="O48" r:id="rId30" xr:uid="{C9F96F3A-83DA-4020-A58D-B9C104DC2244}"/>
    <hyperlink ref="O49" r:id="rId31" xr:uid="{FA5D3023-C28E-4920-B034-33DE5733A921}"/>
    <hyperlink ref="O50" r:id="rId32" xr:uid="{45A28338-E148-40B1-8F40-9F443D5C5ECA}"/>
    <hyperlink ref="O51" r:id="rId33" xr:uid="{80DE6F5E-FB37-4FEA-9AB6-9CF3D331F4C1}"/>
    <hyperlink ref="O52" r:id="rId34" xr:uid="{442E387C-4D86-402D-BF2B-D77E70F21A89}"/>
    <hyperlink ref="O53" r:id="rId35" xr:uid="{7A6416FE-6364-440A-8274-C7D7C254C268}"/>
    <hyperlink ref="O54" r:id="rId36" xr:uid="{41C4DFCD-099A-40C0-92E5-1EC972C0E694}"/>
    <hyperlink ref="O55" r:id="rId37" xr:uid="{8387B773-ABF8-4F4A-8895-EC0BBF8ED49A}"/>
    <hyperlink ref="O56" r:id="rId38" xr:uid="{02DA634D-BB35-4D56-A91A-9B93D2A8094A}"/>
    <hyperlink ref="O59" r:id="rId39" xr:uid="{D95DD3AC-48E1-4E24-9501-32AC06BA6AE4}"/>
    <hyperlink ref="O60" r:id="rId40" xr:uid="{8734B2D7-3FEB-43C7-99CD-0001A66A385D}"/>
    <hyperlink ref="O61" r:id="rId41" xr:uid="{3B8B5D5C-5A16-467A-88FA-616A9AECDA72}"/>
    <hyperlink ref="O62" r:id="rId42" xr:uid="{5285C8FA-C754-43F5-975E-F2E4D890D95B}"/>
    <hyperlink ref="O64" r:id="rId43" xr:uid="{316BA8C0-A938-4C50-9743-985F8C76544D}"/>
    <hyperlink ref="O66" r:id="rId44" xr:uid="{3F8213FD-C01B-4447-91D9-4E057269745D}"/>
    <hyperlink ref="O67" r:id="rId45" xr:uid="{4B7B4791-27F1-4299-A5B6-C71DB36769D0}"/>
    <hyperlink ref="O68" r:id="rId46" xr:uid="{B61AFFC2-D62C-447B-B59C-8B33FDC28A19}"/>
    <hyperlink ref="O69" r:id="rId47" xr:uid="{718AC0C2-915D-4181-ACDC-07D2A1F6A0B7}"/>
    <hyperlink ref="O70" r:id="rId48" xr:uid="{18D79EB6-DE50-46AB-BB44-09F676D4AA6C}"/>
    <hyperlink ref="O71" r:id="rId49" xr:uid="{B4F980DB-7127-4AB1-A41E-88F26338262F}"/>
    <hyperlink ref="O72" r:id="rId50" xr:uid="{3836B695-E401-46D4-A238-E31716D58B39}"/>
    <hyperlink ref="O73" r:id="rId51" xr:uid="{C5515060-E999-4D3D-B0E1-6DCE2168A002}"/>
    <hyperlink ref="O77" r:id="rId52" xr:uid="{0C8FCE85-9E44-400B-B214-A57E5DC2AE74}"/>
    <hyperlink ref="O76" r:id="rId53" xr:uid="{EA4D8B3E-B1C4-476C-A93D-AF10A1C5CEA9}"/>
    <hyperlink ref="O11" r:id="rId54" xr:uid="{CB961B6A-D153-4513-B95E-8947C1F67452}"/>
    <hyperlink ref="O12" r:id="rId55" xr:uid="{5DEB9260-0ACF-4732-B3F1-378713AA6CFD}"/>
    <hyperlink ref="O16" r:id="rId56" xr:uid="{B6BA4ED4-B2FB-4E47-8D3B-9201C9619465}"/>
    <hyperlink ref="O19" r:id="rId57" xr:uid="{2C744A7C-ED0B-4D7B-A324-CC70807A090B}"/>
    <hyperlink ref="O29" r:id="rId58" xr:uid="{A0553738-8D52-4CD3-9B03-F88F5C89C901}"/>
    <hyperlink ref="O34" r:id="rId59" xr:uid="{3B4FD01B-0158-4755-B556-199DD4A4F21C}"/>
    <hyperlink ref="O38" r:id="rId60" xr:uid="{FBA2F3AF-4786-4158-9B8B-155F2E99379A}"/>
    <hyperlink ref="O58" r:id="rId61" xr:uid="{014E192F-4F33-4E08-ACE2-4778AE694DE9}"/>
    <hyperlink ref="O65" r:id="rId62" xr:uid="{EB66FF4B-A503-4BDC-8DEC-B0329A0FF9C7}"/>
    <hyperlink ref="O25" r:id="rId63" xr:uid="{CFCD8C6D-2653-4D9C-9250-2514B1905C07}"/>
  </hyperlinks>
  <pageMargins left="0.7" right="0.7" top="0.75" bottom="0.75" header="0.3" footer="0.3"/>
  <pageSetup paperSize="9" orientation="portrait" r:id="rId64"/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2022-10-18T07:52:33Z</dcterms:modified>
</cp:coreProperties>
</file>