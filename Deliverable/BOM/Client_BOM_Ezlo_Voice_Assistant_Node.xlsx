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VoiceAssistant\Deliverable\BOM\"/>
    </mc:Choice>
  </mc:AlternateContent>
  <xr:revisionPtr revIDLastSave="0" documentId="13_ncr:1_{40436283-10BE-4FA0-8D93-92FEC44680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77" i="1" l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78" i="1" s="1"/>
  <c r="O11" i="1"/>
  <c r="O10" i="1"/>
  <c r="O79" i="1" l="1"/>
  <c r="B77" i="1" l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<sst xmlns="http://schemas.openxmlformats.org/spreadsheetml/2006/main" count="634" uniqueCount="346">
  <si>
    <t>Component list</t>
  </si>
  <si>
    <t>Source Data From:</t>
  </si>
  <si>
    <t>Project:</t>
  </si>
  <si>
    <t>Variant:</t>
  </si>
  <si>
    <t>#</t>
  </si>
  <si>
    <t>None</t>
  </si>
  <si>
    <t>Designator</t>
  </si>
  <si>
    <t>C1, C2, C11, C13, C17, C18, C23, C35, C37, C48, C49, C50, C51</t>
  </si>
  <si>
    <t>C3, C6, C53, C57</t>
  </si>
  <si>
    <t>C4, C7</t>
  </si>
  <si>
    <t>C5</t>
  </si>
  <si>
    <t>C8</t>
  </si>
  <si>
    <t>C9, C22</t>
  </si>
  <si>
    <t>C10, C12, C32, C36, C43, C44, C45, C54, C55, C58, C63, C64, C66</t>
  </si>
  <si>
    <t>C14, C15</t>
  </si>
  <si>
    <t>C16</t>
  </si>
  <si>
    <t>C19</t>
  </si>
  <si>
    <t>C20</t>
  </si>
  <si>
    <t>C21</t>
  </si>
  <si>
    <t>C24, C25, C26, C27, C28, C29, C30, C31</t>
  </si>
  <si>
    <t>C33, C34</t>
  </si>
  <si>
    <t>C38, C60</t>
  </si>
  <si>
    <t>C39, C40</t>
  </si>
  <si>
    <t>C41, C42</t>
  </si>
  <si>
    <t>C46</t>
  </si>
  <si>
    <t>C47</t>
  </si>
  <si>
    <t>C52, C56, C59, C61, C62, C65</t>
  </si>
  <si>
    <t>D1, D2</t>
  </si>
  <si>
    <t>D3</t>
  </si>
  <si>
    <t>D4</t>
  </si>
  <si>
    <t>J1</t>
  </si>
  <si>
    <t>J2</t>
  </si>
  <si>
    <t>J3</t>
  </si>
  <si>
    <t>L1</t>
  </si>
  <si>
    <t>L2</t>
  </si>
  <si>
    <t>L3</t>
  </si>
  <si>
    <t>L4, L5</t>
  </si>
  <si>
    <t>L6</t>
  </si>
  <si>
    <t>L7</t>
  </si>
  <si>
    <t>MIC1, MIC2, MIC3, MIC4</t>
  </si>
  <si>
    <t>P1, P2, P3, P4</t>
  </si>
  <si>
    <t>P5</t>
  </si>
  <si>
    <t>P6, P7, P8, P9, P10</t>
  </si>
  <si>
    <t>R1, R10, R14, R15, R16, R17, R18, R19, R21, R22, R35</t>
  </si>
  <si>
    <t>R2</t>
  </si>
  <si>
    <t>R3, R34</t>
  </si>
  <si>
    <t>R4</t>
  </si>
  <si>
    <t>R5</t>
  </si>
  <si>
    <t>R6</t>
  </si>
  <si>
    <t>R7</t>
  </si>
  <si>
    <t>R8</t>
  </si>
  <si>
    <t>R9, R13</t>
  </si>
  <si>
    <t>R11</t>
  </si>
  <si>
    <t>R12</t>
  </si>
  <si>
    <t>R23, R24, R25, R26</t>
  </si>
  <si>
    <t>R27, R28</t>
  </si>
  <si>
    <t>R29</t>
  </si>
  <si>
    <t>R31</t>
  </si>
  <si>
    <t>R32, R33</t>
  </si>
  <si>
    <t>SB1, SB2, SB3, SB4, SB5, SB6, SB7, SB8, SB9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</si>
  <si>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</si>
  <si>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</si>
  <si>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</si>
  <si>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</si>
  <si>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</si>
  <si>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</si>
  <si>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</si>
  <si>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</si>
  <si>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</si>
  <si>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</si>
  <si>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</si>
  <si>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</si>
  <si>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X1</t>
  </si>
  <si>
    <t>X2</t>
  </si>
  <si>
    <t>Description</t>
  </si>
  <si>
    <t>CAP CER 0.1UF 50V Y5V 0603</t>
  </si>
  <si>
    <t>25V 5mm 10mm 100uF 100kHz SMD,5x10mm Aluminum Electrolytic Cap- SMD ROHS</t>
  </si>
  <si>
    <t>470uF ±20% 50V 12.5mm 13.5mm 1000hrs 105℃ -40℃~+105℃ SMD,12.5x13.5mm Aluminum Electrolytic Capacitors - SMD RoHS</t>
  </si>
  <si>
    <t>CAP CER 470pF 10% X7R 50V 0603 SMD</t>
  </si>
  <si>
    <t>CAP CER 1500PF 50V X7R 0402</t>
  </si>
  <si>
    <t>CAP CER 10UF 25V X5R 0603</t>
  </si>
  <si>
    <t>CAP CER 1UF 25V X5R 0603</t>
  </si>
  <si>
    <t>CAP CER 22PF 50V C0G/NP0 0402</t>
  </si>
  <si>
    <t>CAP CER 100PF 25V X7R 0603</t>
  </si>
  <si>
    <t>CAP CER 4.7UF 25V X5R 0603</t>
  </si>
  <si>
    <t>CAP CER 3300PF 50V X7R 0402</t>
  </si>
  <si>
    <t>CAP CER 10nF 50V X7R 0603</t>
  </si>
  <si>
    <t>CAP CER 2.2UF 25V X5R 0603</t>
  </si>
  <si>
    <t>CAP CER 18PF 50V C0G/NPO 0603</t>
  </si>
  <si>
    <t>CAP TANT 10UF 10% 16V 2312</t>
  </si>
  <si>
    <t>CAP ALUM 10uF 25V SMD</t>
  </si>
  <si>
    <t>CAP CER 0.47UF 50V X5R 0603</t>
  </si>
  <si>
    <t>CAP SMD  2.7pF ±0.25pF 50V NPO 0603</t>
  </si>
  <si>
    <t>CAP SMD 4.7pF ±0.1pF 50V NPO 0603</t>
  </si>
  <si>
    <t>CAP CER 1000PF 25V C0G/NPO 0603</t>
  </si>
  <si>
    <t>40V 500mV@2A 2A SMA(DO-214AC) Schottky Barrier Diodes (SBD) ROHS</t>
  </si>
  <si>
    <t>15V 19A 3.3V 4V Bidirectional SOD-323 ESD Protection Devices ROHS</t>
  </si>
  <si>
    <t>DFN1006-2L ESD Protection Devices ROHS</t>
  </si>
  <si>
    <t>CONN U.FL RCPT STR 50 OHM SMD</t>
  </si>
  <si>
    <t>05P MTA100 HDR ASSY (NARROW)</t>
  </si>
  <si>
    <t>DC Power Receptacle 1.65mm 4.3mm 7A 24V Plugin AC/DC Power Connectors ROHS</t>
  </si>
  <si>
    <t>Inductor Power Shielded Wirewound 220uH 20% 1KHz Ferrite 1.3A 310mOhm DCR Blister T/R</t>
  </si>
  <si>
    <t>1.3A 180uH ±20% 350mΩ SMD,12x12x8mm Power Inductors ROHS</t>
  </si>
  <si>
    <t>2nH ±0.3nH 0603 Inductors</t>
  </si>
  <si>
    <t>Fixed Ind 3320%UH 0.188 Ohm 1450M</t>
  </si>
  <si>
    <t>700mA 1.6nH ±10% 40mΩ 0603 Inductors (SMD) ROHS</t>
  </si>
  <si>
    <t>FERRITE BEAD 120 OHM 0603 1LN</t>
  </si>
  <si>
    <t>MICROPHONE MEMS ANALOG OMNI</t>
  </si>
  <si>
    <t>CONN HEADER VERT 2POS 2.54MM</t>
  </si>
  <si>
    <t>CONN HEADER 6 POS 2.54</t>
  </si>
  <si>
    <t>Test Point ON</t>
  </si>
  <si>
    <t>RES SMD 10K OHM 5% 1/10W 0603</t>
  </si>
  <si>
    <t>±1% 1/10W Thick Film Resistors 75V ±600ppm/℃ -55℃~+155℃ 0.33Ω 0603 Chip Resistor - Surface Mount ROHS</t>
  </si>
  <si>
    <t>RES SMD 2K OHM 1% 1/10W 0603</t>
  </si>
  <si>
    <t>RES 1.2K OHM 5% 1/10W 0603</t>
  </si>
  <si>
    <t>±0.1% 1/16W Thin Film Resistor 25V ±25ppm/℃ -55℃~+155℃ 180Ω 0402 Chip Resistor - Surface Mount ROHS</t>
  </si>
  <si>
    <t>RES 19.1K OHM 1% 1/10W 0603</t>
  </si>
  <si>
    <t>RES 0.22 OHM 1% 1/8W 0402</t>
  </si>
  <si>
    <t>RES SMD 2200Ω ± 5.00% 0.1W ± 100ppm/℃ 0603</t>
  </si>
  <si>
    <t>RES SMD 0R, 1%, 0.1W, 0603</t>
  </si>
  <si>
    <t>RES SMD 499Ω ± 1.00% 0.1W ± 100ppm/℃ 0603</t>
  </si>
  <si>
    <t>RES SMD 20K OHM 1% 1/10W 0603</t>
  </si>
  <si>
    <t>RES SMD 100K OHM 0.1% 1/10W 0603</t>
  </si>
  <si>
    <t>RES SMD 22 OHM 0.1% 1/10W 0603</t>
  </si>
  <si>
    <t>RES Thin Film SMD 8.2K OHM 0.1% 1/10W 0603</t>
  </si>
  <si>
    <t>RES SMD 10 OHM 1% 1/4W 1206</t>
  </si>
  <si>
    <t>RES SMD 1K OHM 0.5% 1/10W 0603</t>
  </si>
  <si>
    <t>RES SMD 4.7K OHM 5% 1/10W 0603</t>
  </si>
  <si>
    <t>Solder Bridge ON</t>
  </si>
  <si>
    <t>3mm 2mm Round Button 50mA Top3.65mm SPST 12V SMD Tactile Switches</t>
  </si>
  <si>
    <t>IC PWR SWITCH P-CHAN 1:1 SC70-6</t>
  </si>
  <si>
    <t>IC REG BUCK BST ADJ 1.5A 8SOIC</t>
  </si>
  <si>
    <t>IC REG BUCK BST ADJ 1.5A 8SON</t>
  </si>
  <si>
    <t>IC RF TXRX+MCU BLUETOOTH WIFI</t>
  </si>
  <si>
    <t>2 NPN pre-biased (Dual) 150mW 100mA 50V SC-70-6(SOT-363) Digital Transistors ROHS</t>
  </si>
  <si>
    <t>IC ADC/AUDIO 24BIT 192K 30TSSOP</t>
  </si>
  <si>
    <t>IC FLASH 64MBIT SPI/QUAD 8SOIC</t>
  </si>
  <si>
    <t>IC DAC/AUDIO 24BIT 200K 16SSOP</t>
  </si>
  <si>
    <t>Amplifier IC 1-Channel (Mono) Class D 28-HTSSOP</t>
  </si>
  <si>
    <t>RF ANT 2.4GHZ STAMPED MET SLD</t>
  </si>
  <si>
    <t>IC PSRAM 64MBIT SPI 133MHZ 8SOIC</t>
  </si>
  <si>
    <t>40MHz SMD Crystal Resonator 15pF ±10ppm ±30ppm -40℃~+85℃ SMD3225-4P Crystals ROHS</t>
  </si>
  <si>
    <t>24.576MHz SMD Crystal Resonator 12pF 60Ω ±10ppm -40℃~+85℃ SMD3225-4P Crystals ROHS</t>
  </si>
  <si>
    <t>Footprint</t>
  </si>
  <si>
    <t>Cap0603</t>
  </si>
  <si>
    <t>VKMB1001E101MV</t>
  </si>
  <si>
    <t>VT1H471MI135000CE0</t>
  </si>
  <si>
    <t>Cap 0402</t>
  </si>
  <si>
    <t>Cap0402</t>
  </si>
  <si>
    <t>Cap 0603</t>
  </si>
  <si>
    <t>Cap Case-C</t>
  </si>
  <si>
    <t>SMA</t>
  </si>
  <si>
    <t>UDD32C03L01</t>
  </si>
  <si>
    <t>DFN1006-2L</t>
  </si>
  <si>
    <t>U.FL-R-SMT-1(80)</t>
  </si>
  <si>
    <t>HDR1X5</t>
  </si>
  <si>
    <t>DC-C024E-7A-1.65</t>
  </si>
  <si>
    <t>SLF12575T-221M1R3-PF</t>
  </si>
  <si>
    <t>YPRH1207-181M</t>
  </si>
  <si>
    <t>IND 0603</t>
  </si>
  <si>
    <t>SWPA5040S330MT</t>
  </si>
  <si>
    <t>ICS-40618</t>
  </si>
  <si>
    <t>HDR1X2</t>
  </si>
  <si>
    <t>HDR1X6</t>
  </si>
  <si>
    <t>TEST POINT</t>
  </si>
  <si>
    <t>Res0603</t>
  </si>
  <si>
    <t>Res0402</t>
  </si>
  <si>
    <t>Res1206</t>
  </si>
  <si>
    <t>Solder Bridge</t>
  </si>
  <si>
    <t>TS-1185EC-C-D-B</t>
  </si>
  <si>
    <t>SC-70-6</t>
  </si>
  <si>
    <t>SOIC-8</t>
  </si>
  <si>
    <t>MC33063ADRJR</t>
  </si>
  <si>
    <t>ESP32-D0WD-V3</t>
  </si>
  <si>
    <t>UMH3N</t>
  </si>
  <si>
    <t>PCM1865DBTR</t>
  </si>
  <si>
    <t>SOP-8_208mil</t>
  </si>
  <si>
    <t>16-SSOP</t>
  </si>
  <si>
    <t>28-HTSSOP</t>
  </si>
  <si>
    <t>PRO-OB-440</t>
  </si>
  <si>
    <t>X322540MPB4SI</t>
  </si>
  <si>
    <t>S3224576121060</t>
  </si>
  <si>
    <t>Manufacturer Part Number</t>
  </si>
  <si>
    <t>CC0603ZRY5V9BB104</t>
  </si>
  <si>
    <t>CC0603KRX7R9BB471</t>
  </si>
  <si>
    <t>CL05B152KB5NNNC</t>
  </si>
  <si>
    <t>CL10A106MA8NRNC</t>
  </si>
  <si>
    <t>CL10A105KA8NNNC</t>
  </si>
  <si>
    <t>04025A220FAT2A</t>
  </si>
  <si>
    <t>CC0603KRX7R8BB101</t>
  </si>
  <si>
    <t>CL10A475KA8NQNC</t>
  </si>
  <si>
    <t>CGA2B2X7R1H332M050BA</t>
  </si>
  <si>
    <t>CC0603KRX7R9BB103</t>
  </si>
  <si>
    <t>CL10A225KA8NNNC</t>
  </si>
  <si>
    <t>CC0603JRNPO9BN180</t>
  </si>
  <si>
    <t>T491C106K016AT</t>
  </si>
  <si>
    <t>CL10A474KB8NNNC</t>
  </si>
  <si>
    <t>CC0603CRNPO9BN2R7</t>
  </si>
  <si>
    <t>CC0603BRNPO9BN4R7</t>
  </si>
  <si>
    <t>CC0603JRNPO8BN102</t>
  </si>
  <si>
    <t>ESD5451N-2/TR</t>
  </si>
  <si>
    <t>3-644456-5</t>
  </si>
  <si>
    <t>FHW0603UC1N6KST</t>
  </si>
  <si>
    <t>BLM18PG121SN1D</t>
  </si>
  <si>
    <t>AC0603JR-0710KL</t>
  </si>
  <si>
    <t>RC0603FR-072KL</t>
  </si>
  <si>
    <t>WR06X122JTL</t>
  </si>
  <si>
    <t>RC0603FR-0719K1L</t>
  </si>
  <si>
    <t>PT0402FR-7W0R22L</t>
  </si>
  <si>
    <t>AC0603JR-072K2L</t>
  </si>
  <si>
    <t>RC0603FR-070RL</t>
  </si>
  <si>
    <t>RC0603FR-07499RL</t>
  </si>
  <si>
    <t>RT0603BRD07100KL</t>
  </si>
  <si>
    <t>RT0603BRD0722RL</t>
  </si>
  <si>
    <t>RT0603BRD078K2L</t>
  </si>
  <si>
    <t>RT1206FRD0710RL</t>
  </si>
  <si>
    <t>RT0603DRD071KL</t>
  </si>
  <si>
    <t>RC0603JR-074K7L</t>
  </si>
  <si>
    <t>MIC94062YC6-TR</t>
  </si>
  <si>
    <t>MC34063ADR</t>
  </si>
  <si>
    <t>W25Q64FVSSIQ</t>
  </si>
  <si>
    <t>PCM1754DBQR</t>
  </si>
  <si>
    <t>TPA3111D1PWPR</t>
  </si>
  <si>
    <t>Manufacturer</t>
  </si>
  <si>
    <t>Yageo</t>
  </si>
  <si>
    <t>Ymin</t>
  </si>
  <si>
    <t>Changzhou Huawei Elec</t>
  </si>
  <si>
    <t>Samsung</t>
  </si>
  <si>
    <t>Sams</t>
  </si>
  <si>
    <t>Kyocera AVX</t>
  </si>
  <si>
    <t>TDK</t>
  </si>
  <si>
    <t>KEMET</t>
  </si>
  <si>
    <t>ROQANG</t>
  </si>
  <si>
    <t>Yangzhou</t>
  </si>
  <si>
    <t>Brightking</t>
  </si>
  <si>
    <t>WILLSEMI</t>
  </si>
  <si>
    <t>Hirose</t>
  </si>
  <si>
    <t>TE Connectivity</t>
  </si>
  <si>
    <t>XKB Connectivity</t>
  </si>
  <si>
    <t>YJYCOIN</t>
  </si>
  <si>
    <t>Sunlord</t>
  </si>
  <si>
    <t>FH</t>
  </si>
  <si>
    <t>Murata</t>
  </si>
  <si>
    <t>TDK InvenSense</t>
  </si>
  <si>
    <t>Wurth Electronics</t>
  </si>
  <si>
    <t>RALEC</t>
  </si>
  <si>
    <t>Walsin Technologies</t>
  </si>
  <si>
    <t>Viking Tech</t>
  </si>
  <si>
    <t>XKB</t>
  </si>
  <si>
    <t>Microchip</t>
  </si>
  <si>
    <t>Texas Instruments</t>
  </si>
  <si>
    <t>Espressif Systems</t>
  </si>
  <si>
    <t>Changjiang</t>
  </si>
  <si>
    <t>Winbond</t>
  </si>
  <si>
    <t>Proant</t>
  </si>
  <si>
    <t>Adafruit Industries</t>
  </si>
  <si>
    <t>Yangxing Tech</t>
  </si>
  <si>
    <t>JGHC</t>
  </si>
  <si>
    <t>0.1uF</t>
  </si>
  <si>
    <t>100uF</t>
  </si>
  <si>
    <t>470uF</t>
  </si>
  <si>
    <t>470pF</t>
  </si>
  <si>
    <t>1500pF</t>
  </si>
  <si>
    <t>10uF</t>
  </si>
  <si>
    <t>1uF</t>
  </si>
  <si>
    <t>22PF</t>
  </si>
  <si>
    <t>100pF</t>
  </si>
  <si>
    <t>4.7uF</t>
  </si>
  <si>
    <t>3.3nF</t>
  </si>
  <si>
    <t>10nF</t>
  </si>
  <si>
    <t>2.2uF</t>
  </si>
  <si>
    <t>18pF</t>
  </si>
  <si>
    <t>0.47uF</t>
  </si>
  <si>
    <t>2.7pF</t>
  </si>
  <si>
    <t>4.7pF</t>
  </si>
  <si>
    <t>1nF</t>
  </si>
  <si>
    <t>SS24A</t>
  </si>
  <si>
    <t>220uH</t>
  </si>
  <si>
    <t>180uH</t>
  </si>
  <si>
    <t>2nH</t>
  </si>
  <si>
    <t>33uH</t>
  </si>
  <si>
    <t>1.6nH</t>
  </si>
  <si>
    <t>10K</t>
  </si>
  <si>
    <t>0.33R</t>
  </si>
  <si>
    <t>2K</t>
  </si>
  <si>
    <t>1.2K</t>
  </si>
  <si>
    <t>180R</t>
  </si>
  <si>
    <t>19K1</t>
  </si>
  <si>
    <t>0.22R</t>
  </si>
  <si>
    <t>2K2</t>
  </si>
  <si>
    <t>0R</t>
  </si>
  <si>
    <t>499R</t>
  </si>
  <si>
    <t>20K</t>
  </si>
  <si>
    <t>100K</t>
  </si>
  <si>
    <t>22R</t>
  </si>
  <si>
    <t>8K2</t>
  </si>
  <si>
    <t>10R</t>
  </si>
  <si>
    <t>1K</t>
  </si>
  <si>
    <t>4.7K</t>
  </si>
  <si>
    <t>40MHz</t>
  </si>
  <si>
    <t>24.576MHz</t>
  </si>
  <si>
    <t>Quantity</t>
  </si>
  <si>
    <t>Item Type</t>
  </si>
  <si>
    <t>Capacitor</t>
  </si>
  <si>
    <t>Custom</t>
  </si>
  <si>
    <t>RVT1E100M0405</t>
  </si>
  <si>
    <t>Diode</t>
  </si>
  <si>
    <t>SOD-323</t>
  </si>
  <si>
    <t>Connector</t>
  </si>
  <si>
    <t>Header</t>
  </si>
  <si>
    <t>Inductor</t>
  </si>
  <si>
    <t>SDCL1608C2N0STDF</t>
  </si>
  <si>
    <t>MicroPhone</t>
  </si>
  <si>
    <t>Test Point</t>
  </si>
  <si>
    <t>-</t>
  </si>
  <si>
    <t>Resistor</t>
  </si>
  <si>
    <t>RTT03R330FTP</t>
  </si>
  <si>
    <t>AR02BTC1800</t>
  </si>
  <si>
    <t>RC0603FR-0720KL</t>
  </si>
  <si>
    <t>Switch</t>
  </si>
  <si>
    <t>IC</t>
  </si>
  <si>
    <t>8-SON</t>
  </si>
  <si>
    <t>30-TSSOP</t>
  </si>
  <si>
    <t>Crystal</t>
  </si>
  <si>
    <t>V332K0402X7R500NBT</t>
  </si>
  <si>
    <t>0603F474M500NT</t>
  </si>
  <si>
    <t>0603B102K250CT</t>
  </si>
  <si>
    <t>DZ254R-11-05-63</t>
  </si>
  <si>
    <t>PZ254V-11-02P</t>
  </si>
  <si>
    <t>DZ254R-11-06-63</t>
  </si>
  <si>
    <t>ARG03FTC0220</t>
  </si>
  <si>
    <t>Alternate Part Number</t>
  </si>
  <si>
    <t xml:space="preserve">Sunlord </t>
  </si>
  <si>
    <t>Value</t>
  </si>
  <si>
    <t>MOQ (10 Boards)</t>
  </si>
  <si>
    <t>Links</t>
  </si>
  <si>
    <t>Unit Cost (10 Boards)</t>
  </si>
  <si>
    <t>Total Cost (10 Boards)</t>
  </si>
  <si>
    <t xml:space="preserve">Total Component Cost </t>
  </si>
  <si>
    <t>Single Board Cost</t>
  </si>
  <si>
    <t>LY68L6400SLIT</t>
  </si>
  <si>
    <t>Self Supplier</t>
  </si>
  <si>
    <t>Bill of Materials for Project [Node_Design]</t>
  </si>
  <si>
    <t>[Node_Design]</t>
  </si>
  <si>
    <t xml:space="preserve"> Remarks</t>
  </si>
  <si>
    <t>R20,R30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</si>
</sst>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1" fillId="2" borderId="15" xfId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0" fontId="21" fillId="4" borderId="16" xfId="1" applyFill="1" applyBorder="1" applyAlignment="1">
      <alignment horizontal="center" vertical="center" wrapText="1"/>
    </xf>
    <xf numFmtId="165" fontId="17" fillId="4" borderId="16" xfId="0" applyNumberFormat="1" applyFont="1" applyFill="1" applyBorder="1" applyAlignment="1">
      <alignment horizontal="center" vertical="center" wrapText="1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9" xfId="0" applyNumberFormat="1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4" fillId="4" borderId="16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165" fontId="24" fillId="2" borderId="15" xfId="0" applyNumberFormat="1" applyFont="1" applyFill="1" applyBorder="1" applyAlignment="1">
      <alignment horizontal="center" vertical="center" wrapText="1"/>
    </xf>
    <xf numFmtId="165" fontId="24" fillId="4" borderId="16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3" borderId="18" xfId="0" applyFont="1" applyFill="1" applyBorder="1" applyAlignment="1" applyProtection="1">
      <alignment horizontal="center" vertical="top"/>
      <protection locked="0"/>
    </xf>
    <xf numFmtId="0" fontId="22" fillId="3" borderId="11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84"/>
  <sheetViews>
    <sheetView tabSelected="1" topLeftCell="A45" workbookViewId="0">
      <selection activeCell="D58" sqref="D58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5703125" bestFit="1" customWidth="1"/>
    <col min="9" max="9" width="21.42578125" bestFit="1" customWidth="1"/>
    <col min="10" max="10" width="9" bestFit="1" customWidth="1"/>
    <col min="11" max="11" width="8.7109375" bestFit="1" customWidth="1"/>
    <col min="12" max="12" width="16.140625" bestFit="1" customWidth="1"/>
    <col min="13" max="13" width="8.42578125" bestFit="1" customWidth="1"/>
    <col min="14" max="14" width="19.7109375" bestFit="1" customWidth="1"/>
    <col min="15" max="15" width="20.28515625" bestFit="1" customWidth="1"/>
    <col min="16" max="16" width="29.42578125" customWidth="1"/>
  </cols>
  <sheetData>
    <row r="1" spans="1:22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77"/>
      <c r="K1" s="77"/>
      <c r="L1" s="77"/>
      <c r="M1" s="77"/>
      <c r="N1" s="77"/>
      <c r="O1" s="77"/>
      <c r="P1" s="77"/>
    </row>
    <row r="2" spans="1:22" ht="32.25" thickBot="1" x14ac:dyDescent="0.3">
      <c r="A2" s="1"/>
      <c r="B2" s="20"/>
      <c r="C2" s="43"/>
      <c r="D2" s="10" t="s">
        <v>0</v>
      </c>
      <c r="E2" s="10"/>
      <c r="F2" s="51" t="s">
        <v>342</v>
      </c>
      <c r="G2" s="11"/>
      <c r="H2" s="11"/>
      <c r="I2" s="3"/>
      <c r="J2" s="3"/>
      <c r="K2" s="3"/>
      <c r="L2" s="3"/>
      <c r="M2" s="3"/>
      <c r="N2" s="3"/>
      <c r="O2" s="3"/>
      <c r="P2" s="40"/>
    </row>
    <row r="3" spans="1:22" x14ac:dyDescent="0.25">
      <c r="A3" s="1"/>
      <c r="B3" s="21"/>
      <c r="C3" s="44"/>
      <c r="D3" s="12" t="s">
        <v>1</v>
      </c>
      <c r="E3" s="12"/>
      <c r="F3" s="52" t="s">
        <v>343</v>
      </c>
      <c r="G3" s="12"/>
      <c r="H3" s="12"/>
      <c r="I3" s="4"/>
      <c r="J3" s="4"/>
      <c r="K3" s="4"/>
      <c r="L3" s="4"/>
      <c r="M3" s="4"/>
      <c r="N3" s="4"/>
      <c r="O3" s="4"/>
      <c r="P3" s="78"/>
    </row>
    <row r="4" spans="1:22" x14ac:dyDescent="0.25">
      <c r="A4" s="1"/>
      <c r="B4" s="21"/>
      <c r="C4" s="44"/>
      <c r="D4" s="12" t="s">
        <v>2</v>
      </c>
      <c r="E4" s="12"/>
      <c r="F4" s="53" t="s">
        <v>343</v>
      </c>
      <c r="G4" s="13"/>
      <c r="H4" s="13"/>
      <c r="I4" s="6"/>
      <c r="J4" s="6"/>
      <c r="K4" s="6"/>
      <c r="L4" s="5"/>
      <c r="M4" s="5"/>
      <c r="N4" s="5"/>
      <c r="O4" s="5"/>
      <c r="P4" s="79"/>
    </row>
    <row r="5" spans="1:22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14"/>
      <c r="I5" s="5"/>
      <c r="J5" s="5"/>
      <c r="K5" s="5"/>
      <c r="L5" s="5"/>
      <c r="M5" s="5"/>
      <c r="N5" s="5"/>
      <c r="O5" s="5"/>
      <c r="P5" s="79"/>
    </row>
    <row r="6" spans="1:22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5"/>
      <c r="M6" s="5"/>
      <c r="N6" s="5"/>
      <c r="O6" s="5"/>
      <c r="P6" s="79"/>
    </row>
    <row r="7" spans="1:22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7"/>
      <c r="M7" s="7"/>
      <c r="N7" s="7"/>
      <c r="O7" s="7"/>
      <c r="P7" s="79"/>
    </row>
    <row r="8" spans="1:22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7"/>
      <c r="M8" s="7"/>
      <c r="N8" s="7"/>
      <c r="O8" s="7"/>
      <c r="P8" s="79"/>
    </row>
    <row r="9" spans="1:22" ht="15.75" thickBot="1" x14ac:dyDescent="0.3">
      <c r="A9" s="1"/>
      <c r="B9" s="29" t="s">
        <v>4</v>
      </c>
      <c r="C9" s="29" t="s">
        <v>302</v>
      </c>
      <c r="D9" s="29" t="s">
        <v>6</v>
      </c>
      <c r="E9" s="30" t="s">
        <v>74</v>
      </c>
      <c r="F9" s="29" t="s">
        <v>143</v>
      </c>
      <c r="G9" s="30" t="s">
        <v>182</v>
      </c>
      <c r="H9" s="29" t="s">
        <v>223</v>
      </c>
      <c r="I9" s="29" t="s">
        <v>331</v>
      </c>
      <c r="J9" s="29" t="s">
        <v>333</v>
      </c>
      <c r="K9" s="29" t="s">
        <v>301</v>
      </c>
      <c r="L9" s="29" t="s">
        <v>334</v>
      </c>
      <c r="M9" s="29" t="s">
        <v>335</v>
      </c>
      <c r="N9" s="29" t="s">
        <v>336</v>
      </c>
      <c r="O9" s="29" t="s">
        <v>337</v>
      </c>
      <c r="P9" s="29" t="s">
        <v>344</v>
      </c>
    </row>
    <row r="10" spans="1:22" ht="30.75" thickBot="1" x14ac:dyDescent="0.3">
      <c r="A10" s="1"/>
      <c r="B10" s="50">
        <f>ROW(B10) - ROW($B$9)</f>
        <v>1</v>
      </c>
      <c r="C10" s="55" t="s">
        <v>303</v>
      </c>
      <c r="D10" s="36" t="s">
        <v>7</v>
      </c>
      <c r="E10" s="37" t="s">
        <v>75</v>
      </c>
      <c r="F10" s="36" t="s">
        <v>144</v>
      </c>
      <c r="G10" s="37" t="s">
        <v>183</v>
      </c>
      <c r="H10" s="36" t="s">
        <v>224</v>
      </c>
      <c r="I10" s="36" t="s">
        <v>314</v>
      </c>
      <c r="J10" s="36" t="s">
        <v>258</v>
      </c>
      <c r="K10" s="36">
        <v>13</v>
      </c>
      <c r="L10" s="36">
        <v>200</v>
      </c>
      <c r="M10" s="60" t="s">
        <v>341</v>
      </c>
      <c r="N10" s="61">
        <v>0.20290000000000002</v>
      </c>
      <c r="O10" s="61">
        <f>N10*L10</f>
        <v>40.580000000000005</v>
      </c>
      <c r="P10" s="36"/>
      <c r="R10" s="75"/>
      <c r="U10" s="75"/>
      <c r="V10" s="76"/>
    </row>
    <row r="11" spans="1:22" ht="36.75" thickBot="1" x14ac:dyDescent="0.3">
      <c r="A11" s="1"/>
      <c r="B11" s="50">
        <f t="shared" ref="B11:B77" si="0">ROW(B11) - ROW($B$9)</f>
        <v>2</v>
      </c>
      <c r="C11" s="56" t="s">
        <v>303</v>
      </c>
      <c r="D11" s="38" t="s">
        <v>8</v>
      </c>
      <c r="E11" s="39" t="s">
        <v>76</v>
      </c>
      <c r="F11" s="38" t="s">
        <v>304</v>
      </c>
      <c r="G11" s="38" t="s">
        <v>145</v>
      </c>
      <c r="H11" s="38" t="s">
        <v>225</v>
      </c>
      <c r="I11" s="38" t="s">
        <v>314</v>
      </c>
      <c r="J11" s="38" t="s">
        <v>259</v>
      </c>
      <c r="K11" s="38">
        <v>4</v>
      </c>
      <c r="L11" s="38">
        <v>50</v>
      </c>
      <c r="M11" s="62" t="s">
        <v>341</v>
      </c>
      <c r="N11" s="63">
        <v>0.18859999999999999</v>
      </c>
      <c r="O11" s="63">
        <f t="shared" ref="O11:O74" si="1">N11*L11</f>
        <v>9.43</v>
      </c>
      <c r="P11" s="38"/>
      <c r="R11" s="75"/>
      <c r="U11" s="75"/>
      <c r="V11" s="76"/>
    </row>
    <row r="12" spans="1:22" ht="48.75" thickBot="1" x14ac:dyDescent="0.3">
      <c r="A12" s="1"/>
      <c r="B12" s="50">
        <f>ROW(B12) - ROW($B$9)</f>
        <v>3</v>
      </c>
      <c r="C12" s="55" t="s">
        <v>303</v>
      </c>
      <c r="D12" s="36" t="s">
        <v>9</v>
      </c>
      <c r="E12" s="37" t="s">
        <v>77</v>
      </c>
      <c r="F12" s="36" t="s">
        <v>304</v>
      </c>
      <c r="G12" s="36" t="s">
        <v>146</v>
      </c>
      <c r="H12" s="36" t="s">
        <v>226</v>
      </c>
      <c r="I12" s="36" t="s">
        <v>314</v>
      </c>
      <c r="J12" s="36" t="s">
        <v>260</v>
      </c>
      <c r="K12" s="36">
        <v>2</v>
      </c>
      <c r="L12" s="36">
        <v>22</v>
      </c>
      <c r="M12" s="60" t="s">
        <v>341</v>
      </c>
      <c r="N12" s="61">
        <v>0.58550000000000002</v>
      </c>
      <c r="O12" s="61">
        <f t="shared" si="1"/>
        <v>12.881</v>
      </c>
      <c r="P12" s="36"/>
      <c r="R12" s="75"/>
      <c r="U12" s="75"/>
      <c r="V12" s="76"/>
    </row>
    <row r="13" spans="1:22" ht="30.75" thickBot="1" x14ac:dyDescent="0.3">
      <c r="A13" s="1"/>
      <c r="B13" s="50">
        <f t="shared" si="0"/>
        <v>4</v>
      </c>
      <c r="C13" s="56" t="s">
        <v>303</v>
      </c>
      <c r="D13" s="38" t="s">
        <v>10</v>
      </c>
      <c r="E13" s="39" t="s">
        <v>78</v>
      </c>
      <c r="F13" s="38" t="s">
        <v>144</v>
      </c>
      <c r="G13" s="38" t="s">
        <v>184</v>
      </c>
      <c r="H13" s="38" t="s">
        <v>224</v>
      </c>
      <c r="I13" s="38" t="s">
        <v>314</v>
      </c>
      <c r="J13" s="38" t="s">
        <v>261</v>
      </c>
      <c r="K13" s="38">
        <v>1</v>
      </c>
      <c r="L13" s="38">
        <v>100</v>
      </c>
      <c r="M13" s="62" t="s">
        <v>341</v>
      </c>
      <c r="N13" s="63">
        <v>0.10250000000000001</v>
      </c>
      <c r="O13" s="63">
        <f t="shared" si="1"/>
        <v>10.25</v>
      </c>
      <c r="P13" s="38"/>
      <c r="R13" s="75"/>
      <c r="U13" s="75"/>
      <c r="V13" s="76"/>
    </row>
    <row r="14" spans="1:22" ht="30.75" thickBot="1" x14ac:dyDescent="0.3">
      <c r="A14" s="1"/>
      <c r="B14" s="50">
        <f>ROW(B14) - ROW($B$9)</f>
        <v>5</v>
      </c>
      <c r="C14" s="55" t="s">
        <v>303</v>
      </c>
      <c r="D14" s="36" t="s">
        <v>11</v>
      </c>
      <c r="E14" s="37" t="s">
        <v>79</v>
      </c>
      <c r="F14" s="36" t="s">
        <v>147</v>
      </c>
      <c r="G14" s="36" t="s">
        <v>185</v>
      </c>
      <c r="H14" s="36" t="s">
        <v>227</v>
      </c>
      <c r="I14" s="36" t="s">
        <v>314</v>
      </c>
      <c r="J14" s="36" t="s">
        <v>262</v>
      </c>
      <c r="K14" s="36">
        <v>1</v>
      </c>
      <c r="L14" s="36">
        <v>100</v>
      </c>
      <c r="M14" s="60" t="s">
        <v>341</v>
      </c>
      <c r="N14" s="61">
        <v>0.10310000000000001</v>
      </c>
      <c r="O14" s="61">
        <f t="shared" si="1"/>
        <v>10.31</v>
      </c>
      <c r="P14" s="36"/>
      <c r="R14" s="75"/>
      <c r="U14" s="75"/>
      <c r="V14" s="76"/>
    </row>
    <row r="15" spans="1:22" ht="30.75" thickBot="1" x14ac:dyDescent="0.3">
      <c r="A15" s="1"/>
      <c r="B15" s="50">
        <f t="shared" si="0"/>
        <v>6</v>
      </c>
      <c r="C15" s="56" t="s">
        <v>303</v>
      </c>
      <c r="D15" s="38" t="s">
        <v>12</v>
      </c>
      <c r="E15" s="39" t="s">
        <v>80</v>
      </c>
      <c r="F15" s="38" t="s">
        <v>144</v>
      </c>
      <c r="G15" s="38" t="s">
        <v>186</v>
      </c>
      <c r="H15" s="38" t="s">
        <v>227</v>
      </c>
      <c r="I15" s="38" t="s">
        <v>314</v>
      </c>
      <c r="J15" s="38" t="s">
        <v>263</v>
      </c>
      <c r="K15" s="38">
        <v>2</v>
      </c>
      <c r="L15" s="38">
        <v>40</v>
      </c>
      <c r="M15" s="62" t="s">
        <v>341</v>
      </c>
      <c r="N15" s="63">
        <v>0.11420000000000001</v>
      </c>
      <c r="O15" s="63">
        <f t="shared" si="1"/>
        <v>4.5680000000000005</v>
      </c>
      <c r="P15" s="38"/>
      <c r="R15" s="75"/>
      <c r="U15" s="75"/>
      <c r="V15" s="76"/>
    </row>
    <row r="16" spans="1:22" ht="30.75" thickBot="1" x14ac:dyDescent="0.3">
      <c r="A16" s="1"/>
      <c r="B16" s="50">
        <f>ROW(B16) - ROW($B$9)</f>
        <v>7</v>
      </c>
      <c r="C16" s="55" t="s">
        <v>303</v>
      </c>
      <c r="D16" s="36" t="s">
        <v>14</v>
      </c>
      <c r="E16" s="37" t="s">
        <v>82</v>
      </c>
      <c r="F16" s="36" t="s">
        <v>148</v>
      </c>
      <c r="G16" s="36" t="s">
        <v>188</v>
      </c>
      <c r="H16" s="36" t="s">
        <v>229</v>
      </c>
      <c r="I16" s="36" t="s">
        <v>314</v>
      </c>
      <c r="J16" s="36" t="s">
        <v>265</v>
      </c>
      <c r="K16" s="36">
        <v>2</v>
      </c>
      <c r="L16" s="36">
        <v>100</v>
      </c>
      <c r="M16" s="60" t="s">
        <v>341</v>
      </c>
      <c r="N16" s="61">
        <v>0.10100000000000001</v>
      </c>
      <c r="O16" s="61">
        <f t="shared" si="1"/>
        <v>10.100000000000001</v>
      </c>
      <c r="P16" s="36"/>
      <c r="R16" s="75"/>
      <c r="U16" s="75"/>
      <c r="V16" s="76"/>
    </row>
    <row r="17" spans="1:22" ht="30.75" thickBot="1" x14ac:dyDescent="0.3">
      <c r="A17" s="1"/>
      <c r="B17" s="50">
        <f t="shared" si="0"/>
        <v>8</v>
      </c>
      <c r="C17" s="56" t="s">
        <v>303</v>
      </c>
      <c r="D17" s="38" t="s">
        <v>15</v>
      </c>
      <c r="E17" s="39" t="s">
        <v>83</v>
      </c>
      <c r="F17" s="38" t="s">
        <v>149</v>
      </c>
      <c r="G17" s="38" t="s">
        <v>189</v>
      </c>
      <c r="H17" s="38" t="s">
        <v>224</v>
      </c>
      <c r="I17" s="38" t="s">
        <v>314</v>
      </c>
      <c r="J17" s="38" t="s">
        <v>266</v>
      </c>
      <c r="K17" s="38">
        <v>1</v>
      </c>
      <c r="L17" s="38">
        <v>100</v>
      </c>
      <c r="M17" s="62" t="s">
        <v>341</v>
      </c>
      <c r="N17" s="63">
        <v>0.1032</v>
      </c>
      <c r="O17" s="63">
        <f t="shared" si="1"/>
        <v>10.32</v>
      </c>
      <c r="P17" s="38"/>
      <c r="R17" s="75"/>
      <c r="U17" s="75"/>
      <c r="V17" s="76"/>
    </row>
    <row r="18" spans="1:22" ht="30.75" thickBot="1" x14ac:dyDescent="0.3">
      <c r="A18" s="1"/>
      <c r="B18" s="50">
        <f>ROW(B18) - ROW($B$9)</f>
        <v>9</v>
      </c>
      <c r="C18" s="55" t="s">
        <v>303</v>
      </c>
      <c r="D18" s="36" t="s">
        <v>16</v>
      </c>
      <c r="E18" s="37" t="s">
        <v>84</v>
      </c>
      <c r="F18" s="36" t="s">
        <v>144</v>
      </c>
      <c r="G18" s="36" t="s">
        <v>190</v>
      </c>
      <c r="H18" s="36" t="s">
        <v>227</v>
      </c>
      <c r="I18" s="36" t="s">
        <v>314</v>
      </c>
      <c r="J18" s="36" t="s">
        <v>267</v>
      </c>
      <c r="K18" s="36">
        <v>1</v>
      </c>
      <c r="L18" s="36">
        <v>20</v>
      </c>
      <c r="M18" s="60" t="s">
        <v>341</v>
      </c>
      <c r="N18" s="61">
        <v>0.1179</v>
      </c>
      <c r="O18" s="61">
        <f t="shared" si="1"/>
        <v>2.3580000000000001</v>
      </c>
      <c r="P18" s="36"/>
      <c r="R18" s="75"/>
      <c r="U18" s="75"/>
      <c r="V18" s="76"/>
    </row>
    <row r="19" spans="1:22" ht="30.75" thickBot="1" x14ac:dyDescent="0.3">
      <c r="A19" s="1"/>
      <c r="B19" s="50">
        <f t="shared" si="0"/>
        <v>10</v>
      </c>
      <c r="C19" s="56" t="s">
        <v>303</v>
      </c>
      <c r="D19" s="38" t="s">
        <v>17</v>
      </c>
      <c r="E19" s="39" t="s">
        <v>85</v>
      </c>
      <c r="F19" s="38" t="s">
        <v>148</v>
      </c>
      <c r="G19" s="57" t="s">
        <v>191</v>
      </c>
      <c r="H19" s="38" t="s">
        <v>230</v>
      </c>
      <c r="I19" s="38" t="s">
        <v>324</v>
      </c>
      <c r="J19" s="38" t="s">
        <v>268</v>
      </c>
      <c r="K19" s="38">
        <v>1</v>
      </c>
      <c r="L19" s="38">
        <v>100</v>
      </c>
      <c r="M19" s="62" t="s">
        <v>341</v>
      </c>
      <c r="N19" s="63">
        <v>0.10200000000000001</v>
      </c>
      <c r="O19" s="63">
        <f t="shared" si="1"/>
        <v>10.200000000000001</v>
      </c>
      <c r="P19" s="38"/>
      <c r="R19" s="75"/>
      <c r="U19" s="75"/>
      <c r="V19" s="76"/>
    </row>
    <row r="20" spans="1:22" ht="30.75" thickBot="1" x14ac:dyDescent="0.3">
      <c r="A20" s="1"/>
      <c r="B20" s="50">
        <f>ROW(B20) - ROW($B$9)</f>
        <v>11</v>
      </c>
      <c r="C20" s="55" t="s">
        <v>303</v>
      </c>
      <c r="D20" s="36" t="s">
        <v>18</v>
      </c>
      <c r="E20" s="37" t="s">
        <v>86</v>
      </c>
      <c r="F20" s="36" t="s">
        <v>144</v>
      </c>
      <c r="G20" s="36" t="s">
        <v>192</v>
      </c>
      <c r="H20" s="36" t="s">
        <v>224</v>
      </c>
      <c r="I20" s="36" t="s">
        <v>314</v>
      </c>
      <c r="J20" s="36" t="s">
        <v>269</v>
      </c>
      <c r="K20" s="36">
        <v>1</v>
      </c>
      <c r="L20" s="36">
        <v>100</v>
      </c>
      <c r="M20" s="60" t="s">
        <v>341</v>
      </c>
      <c r="N20" s="61">
        <v>0.10210000000000001</v>
      </c>
      <c r="O20" s="61">
        <f t="shared" si="1"/>
        <v>10.210000000000001</v>
      </c>
      <c r="P20" s="36"/>
      <c r="R20" s="75"/>
      <c r="U20" s="75"/>
      <c r="V20" s="76"/>
    </row>
    <row r="21" spans="1:22" ht="30.75" thickBot="1" x14ac:dyDescent="0.3">
      <c r="A21" s="1"/>
      <c r="B21" s="50">
        <f t="shared" si="0"/>
        <v>12</v>
      </c>
      <c r="C21" s="56" t="s">
        <v>303</v>
      </c>
      <c r="D21" s="38" t="s">
        <v>19</v>
      </c>
      <c r="E21" s="39" t="s">
        <v>87</v>
      </c>
      <c r="F21" s="38" t="s">
        <v>144</v>
      </c>
      <c r="G21" s="38" t="s">
        <v>193</v>
      </c>
      <c r="H21" s="38" t="s">
        <v>227</v>
      </c>
      <c r="I21" s="38" t="s">
        <v>314</v>
      </c>
      <c r="J21" s="38" t="s">
        <v>270</v>
      </c>
      <c r="K21" s="38">
        <v>8</v>
      </c>
      <c r="L21" s="38">
        <v>100</v>
      </c>
      <c r="M21" s="62" t="s">
        <v>341</v>
      </c>
      <c r="N21" s="63">
        <v>0.10740000000000001</v>
      </c>
      <c r="O21" s="63">
        <f t="shared" si="1"/>
        <v>10.74</v>
      </c>
      <c r="P21" s="38"/>
      <c r="R21" s="75"/>
      <c r="U21" s="75"/>
      <c r="V21" s="76"/>
    </row>
    <row r="22" spans="1:22" ht="30.75" thickBot="1" x14ac:dyDescent="0.3">
      <c r="A22" s="1"/>
      <c r="B22" s="50">
        <f>ROW(B22) - ROW($B$9)</f>
        <v>13</v>
      </c>
      <c r="C22" s="55" t="s">
        <v>303</v>
      </c>
      <c r="D22" s="36" t="s">
        <v>20</v>
      </c>
      <c r="E22" s="37" t="s">
        <v>88</v>
      </c>
      <c r="F22" s="36" t="s">
        <v>144</v>
      </c>
      <c r="G22" s="36" t="s">
        <v>194</v>
      </c>
      <c r="H22" s="36" t="s">
        <v>224</v>
      </c>
      <c r="I22" s="36" t="s">
        <v>314</v>
      </c>
      <c r="J22" s="36" t="s">
        <v>271</v>
      </c>
      <c r="K22" s="36">
        <v>2</v>
      </c>
      <c r="L22" s="36">
        <v>100</v>
      </c>
      <c r="M22" s="60" t="s">
        <v>341</v>
      </c>
      <c r="N22" s="61">
        <v>0.1028</v>
      </c>
      <c r="O22" s="61">
        <f t="shared" si="1"/>
        <v>10.280000000000001</v>
      </c>
      <c r="P22" s="36"/>
      <c r="R22" s="75"/>
      <c r="U22" s="75"/>
      <c r="V22" s="76"/>
    </row>
    <row r="23" spans="1:22" ht="30.75" thickBot="1" x14ac:dyDescent="0.3">
      <c r="A23" s="1"/>
      <c r="B23" s="50">
        <f t="shared" si="0"/>
        <v>14</v>
      </c>
      <c r="C23" s="56" t="s">
        <v>303</v>
      </c>
      <c r="D23" s="38" t="s">
        <v>21</v>
      </c>
      <c r="E23" s="39" t="s">
        <v>89</v>
      </c>
      <c r="F23" s="38" t="s">
        <v>150</v>
      </c>
      <c r="G23" s="38" t="s">
        <v>195</v>
      </c>
      <c r="H23" s="38" t="s">
        <v>231</v>
      </c>
      <c r="I23" s="38" t="s">
        <v>314</v>
      </c>
      <c r="J23" s="38" t="s">
        <v>263</v>
      </c>
      <c r="K23" s="38">
        <v>2</v>
      </c>
      <c r="L23" s="38">
        <v>22</v>
      </c>
      <c r="M23" s="62" t="s">
        <v>341</v>
      </c>
      <c r="N23" s="63">
        <v>0.29010000000000002</v>
      </c>
      <c r="O23" s="63">
        <f t="shared" si="1"/>
        <v>6.382200000000001</v>
      </c>
      <c r="P23" s="38"/>
      <c r="R23" s="75"/>
      <c r="U23" s="75"/>
      <c r="V23" s="76"/>
    </row>
    <row r="24" spans="1:22" ht="30.75" thickBot="1" x14ac:dyDescent="0.3">
      <c r="A24" s="1"/>
      <c r="B24" s="50">
        <f>ROW(B24) - ROW($B$9)</f>
        <v>15</v>
      </c>
      <c r="C24" s="55" t="s">
        <v>303</v>
      </c>
      <c r="D24" s="36" t="s">
        <v>22</v>
      </c>
      <c r="E24" s="37" t="s">
        <v>90</v>
      </c>
      <c r="F24" s="36" t="s">
        <v>304</v>
      </c>
      <c r="G24" s="36" t="s">
        <v>305</v>
      </c>
      <c r="H24" s="36" t="s">
        <v>232</v>
      </c>
      <c r="I24" s="36" t="s">
        <v>314</v>
      </c>
      <c r="J24" s="36" t="s">
        <v>263</v>
      </c>
      <c r="K24" s="36">
        <v>2</v>
      </c>
      <c r="L24" s="36">
        <v>40</v>
      </c>
      <c r="M24" s="60" t="s">
        <v>341</v>
      </c>
      <c r="N24" s="61">
        <v>0.129</v>
      </c>
      <c r="O24" s="61">
        <f t="shared" si="1"/>
        <v>5.16</v>
      </c>
      <c r="P24" s="36"/>
      <c r="R24" s="75"/>
      <c r="U24" s="75"/>
      <c r="V24" s="76"/>
    </row>
    <row r="25" spans="1:22" ht="30.75" thickBot="1" x14ac:dyDescent="0.3">
      <c r="A25" s="1"/>
      <c r="B25" s="50">
        <f t="shared" si="0"/>
        <v>16</v>
      </c>
      <c r="C25" s="56" t="s">
        <v>303</v>
      </c>
      <c r="D25" s="38" t="s">
        <v>23</v>
      </c>
      <c r="E25" s="39" t="s">
        <v>91</v>
      </c>
      <c r="F25" s="38" t="s">
        <v>144</v>
      </c>
      <c r="G25" s="57" t="s">
        <v>196</v>
      </c>
      <c r="H25" s="38" t="s">
        <v>227</v>
      </c>
      <c r="I25" s="38" t="s">
        <v>325</v>
      </c>
      <c r="J25" s="38" t="s">
        <v>272</v>
      </c>
      <c r="K25" s="38">
        <v>2</v>
      </c>
      <c r="L25" s="38">
        <v>50</v>
      </c>
      <c r="M25" s="62" t="s">
        <v>341</v>
      </c>
      <c r="N25" s="63">
        <v>0.1119</v>
      </c>
      <c r="O25" s="63">
        <f t="shared" si="1"/>
        <v>5.5949999999999998</v>
      </c>
      <c r="P25" s="38"/>
      <c r="R25" s="75"/>
      <c r="U25" s="75"/>
      <c r="V25" s="76"/>
    </row>
    <row r="26" spans="1:22" ht="30.75" thickBot="1" x14ac:dyDescent="0.3">
      <c r="A26" s="1"/>
      <c r="B26" s="50">
        <f>ROW(B26) - ROW($B$9)</f>
        <v>17</v>
      </c>
      <c r="C26" s="55" t="s">
        <v>303</v>
      </c>
      <c r="D26" s="36" t="s">
        <v>13</v>
      </c>
      <c r="E26" s="37" t="s">
        <v>81</v>
      </c>
      <c r="F26" s="36" t="s">
        <v>144</v>
      </c>
      <c r="G26" s="36" t="s">
        <v>187</v>
      </c>
      <c r="H26" s="36" t="s">
        <v>228</v>
      </c>
      <c r="I26" s="36" t="s">
        <v>314</v>
      </c>
      <c r="J26" s="36" t="s">
        <v>264</v>
      </c>
      <c r="K26" s="36">
        <v>13</v>
      </c>
      <c r="L26" s="36">
        <v>150</v>
      </c>
      <c r="M26" s="60" t="s">
        <v>341</v>
      </c>
      <c r="N26" s="61">
        <v>0.1042</v>
      </c>
      <c r="O26" s="61">
        <f t="shared" si="1"/>
        <v>15.63</v>
      </c>
      <c r="P26" s="36"/>
      <c r="R26" s="75"/>
      <c r="U26" s="75"/>
      <c r="V26" s="76"/>
    </row>
    <row r="27" spans="1:22" ht="30.75" thickBot="1" x14ac:dyDescent="0.3">
      <c r="A27" s="1"/>
      <c r="B27" s="50">
        <f t="shared" si="0"/>
        <v>18</v>
      </c>
      <c r="C27" s="56" t="s">
        <v>303</v>
      </c>
      <c r="D27" s="38" t="s">
        <v>24</v>
      </c>
      <c r="E27" s="39" t="s">
        <v>92</v>
      </c>
      <c r="F27" s="38" t="s">
        <v>149</v>
      </c>
      <c r="G27" s="38" t="s">
        <v>197</v>
      </c>
      <c r="H27" s="38" t="s">
        <v>224</v>
      </c>
      <c r="I27" s="38" t="s">
        <v>314</v>
      </c>
      <c r="J27" s="38" t="s">
        <v>273</v>
      </c>
      <c r="K27" s="38">
        <v>1</v>
      </c>
      <c r="L27" s="38">
        <v>50</v>
      </c>
      <c r="M27" s="62" t="s">
        <v>341</v>
      </c>
      <c r="N27" s="63">
        <v>0.1067</v>
      </c>
      <c r="O27" s="63">
        <f t="shared" si="1"/>
        <v>5.335</v>
      </c>
      <c r="P27" s="38"/>
      <c r="R27" s="75"/>
      <c r="U27" s="75"/>
      <c r="V27" s="76"/>
    </row>
    <row r="28" spans="1:22" ht="30.75" thickBot="1" x14ac:dyDescent="0.3">
      <c r="A28" s="1"/>
      <c r="B28" s="50">
        <f>ROW(B28) - ROW($B$9)</f>
        <v>19</v>
      </c>
      <c r="C28" s="55" t="s">
        <v>303</v>
      </c>
      <c r="D28" s="36" t="s">
        <v>25</v>
      </c>
      <c r="E28" s="37" t="s">
        <v>93</v>
      </c>
      <c r="F28" s="36" t="s">
        <v>149</v>
      </c>
      <c r="G28" s="36" t="s">
        <v>198</v>
      </c>
      <c r="H28" s="36" t="s">
        <v>224</v>
      </c>
      <c r="I28" s="36" t="s">
        <v>314</v>
      </c>
      <c r="J28" s="36" t="s">
        <v>274</v>
      </c>
      <c r="K28" s="36">
        <v>1</v>
      </c>
      <c r="L28" s="36">
        <v>50</v>
      </c>
      <c r="M28" s="60" t="s">
        <v>341</v>
      </c>
      <c r="N28" s="61">
        <v>0.1052</v>
      </c>
      <c r="O28" s="61">
        <f t="shared" si="1"/>
        <v>5.26</v>
      </c>
      <c r="P28" s="36"/>
      <c r="R28" s="75"/>
      <c r="U28" s="75"/>
      <c r="V28" s="76"/>
    </row>
    <row r="29" spans="1:22" ht="30.75" thickBot="1" x14ac:dyDescent="0.3">
      <c r="A29" s="1"/>
      <c r="B29" s="50">
        <f t="shared" si="0"/>
        <v>20</v>
      </c>
      <c r="C29" s="56" t="s">
        <v>303</v>
      </c>
      <c r="D29" s="38" t="s">
        <v>26</v>
      </c>
      <c r="E29" s="39" t="s">
        <v>94</v>
      </c>
      <c r="F29" s="38" t="s">
        <v>144</v>
      </c>
      <c r="G29" s="57" t="s">
        <v>199</v>
      </c>
      <c r="H29" s="38" t="s">
        <v>224</v>
      </c>
      <c r="I29" s="38" t="s">
        <v>326</v>
      </c>
      <c r="J29" s="38" t="s">
        <v>275</v>
      </c>
      <c r="K29" s="38">
        <v>6</v>
      </c>
      <c r="L29" s="38">
        <v>100</v>
      </c>
      <c r="M29" s="62" t="s">
        <v>341</v>
      </c>
      <c r="N29" s="63">
        <v>0.10450000000000001</v>
      </c>
      <c r="O29" s="63">
        <f t="shared" si="1"/>
        <v>10.450000000000001</v>
      </c>
      <c r="P29" s="38"/>
      <c r="R29" s="75"/>
      <c r="U29" s="75"/>
      <c r="V29" s="76"/>
    </row>
    <row r="30" spans="1:22" ht="30.75" thickBot="1" x14ac:dyDescent="0.3">
      <c r="A30" s="1"/>
      <c r="B30" s="50">
        <f>ROW(B30) - ROW($B$9)</f>
        <v>21</v>
      </c>
      <c r="C30" s="55" t="s">
        <v>306</v>
      </c>
      <c r="D30" s="36" t="s">
        <v>27</v>
      </c>
      <c r="E30" s="37" t="s">
        <v>95</v>
      </c>
      <c r="F30" s="36" t="s">
        <v>151</v>
      </c>
      <c r="G30" s="36" t="s">
        <v>276</v>
      </c>
      <c r="H30" s="36" t="s">
        <v>233</v>
      </c>
      <c r="I30" s="36" t="s">
        <v>314</v>
      </c>
      <c r="J30" s="36" t="s">
        <v>314</v>
      </c>
      <c r="K30" s="36">
        <v>2</v>
      </c>
      <c r="L30" s="36">
        <v>40</v>
      </c>
      <c r="M30" s="60" t="s">
        <v>341</v>
      </c>
      <c r="N30" s="61">
        <v>0.12520000000000001</v>
      </c>
      <c r="O30" s="61">
        <f t="shared" si="1"/>
        <v>5.008</v>
      </c>
      <c r="P30" s="36"/>
      <c r="R30" s="75"/>
      <c r="U30" s="75"/>
      <c r="V30" s="76"/>
    </row>
    <row r="31" spans="1:22" ht="30.75" thickBot="1" x14ac:dyDescent="0.3">
      <c r="A31" s="1"/>
      <c r="B31" s="50">
        <f t="shared" si="0"/>
        <v>22</v>
      </c>
      <c r="C31" s="56" t="s">
        <v>306</v>
      </c>
      <c r="D31" s="38" t="s">
        <v>28</v>
      </c>
      <c r="E31" s="39" t="s">
        <v>96</v>
      </c>
      <c r="F31" s="38" t="s">
        <v>307</v>
      </c>
      <c r="G31" s="38" t="s">
        <v>152</v>
      </c>
      <c r="H31" s="38" t="s">
        <v>234</v>
      </c>
      <c r="I31" s="38" t="s">
        <v>314</v>
      </c>
      <c r="J31" s="38" t="s">
        <v>314</v>
      </c>
      <c r="K31" s="38">
        <v>1</v>
      </c>
      <c r="L31" s="38">
        <v>20</v>
      </c>
      <c r="M31" s="62" t="s">
        <v>341</v>
      </c>
      <c r="N31" s="63">
        <v>0.14900000000000002</v>
      </c>
      <c r="O31" s="63">
        <f t="shared" si="1"/>
        <v>2.9800000000000004</v>
      </c>
      <c r="P31" s="38"/>
      <c r="R31" s="75"/>
      <c r="U31" s="75"/>
      <c r="V31" s="76"/>
    </row>
    <row r="32" spans="1:22" ht="30.75" thickBot="1" x14ac:dyDescent="0.3">
      <c r="A32" s="1"/>
      <c r="B32" s="50">
        <f>ROW(B32) - ROW($B$9)</f>
        <v>23</v>
      </c>
      <c r="C32" s="55" t="s">
        <v>306</v>
      </c>
      <c r="D32" s="36" t="s">
        <v>29</v>
      </c>
      <c r="E32" s="37" t="s">
        <v>97</v>
      </c>
      <c r="F32" s="36" t="s">
        <v>153</v>
      </c>
      <c r="G32" s="36" t="s">
        <v>200</v>
      </c>
      <c r="H32" s="36" t="s">
        <v>235</v>
      </c>
      <c r="I32" s="36" t="s">
        <v>314</v>
      </c>
      <c r="J32" s="36" t="s">
        <v>314</v>
      </c>
      <c r="K32" s="36">
        <v>1</v>
      </c>
      <c r="L32" s="36">
        <v>50</v>
      </c>
      <c r="M32" s="60" t="s">
        <v>341</v>
      </c>
      <c r="N32" s="61">
        <v>0.11950000000000001</v>
      </c>
      <c r="O32" s="61">
        <f t="shared" si="1"/>
        <v>5.9750000000000005</v>
      </c>
      <c r="P32" s="36"/>
      <c r="R32" s="75"/>
      <c r="U32" s="75"/>
      <c r="V32" s="76"/>
    </row>
    <row r="33" spans="1:22" ht="30.75" thickBot="1" x14ac:dyDescent="0.3">
      <c r="A33" s="1"/>
      <c r="B33" s="50">
        <f t="shared" si="0"/>
        <v>24</v>
      </c>
      <c r="C33" s="56" t="s">
        <v>308</v>
      </c>
      <c r="D33" s="38" t="s">
        <v>30</v>
      </c>
      <c r="E33" s="39" t="s">
        <v>98</v>
      </c>
      <c r="F33" s="38" t="s">
        <v>304</v>
      </c>
      <c r="G33" s="38" t="s">
        <v>154</v>
      </c>
      <c r="H33" s="38" t="s">
        <v>236</v>
      </c>
      <c r="I33" s="38" t="s">
        <v>314</v>
      </c>
      <c r="J33" s="38" t="s">
        <v>314</v>
      </c>
      <c r="K33" s="38">
        <v>1</v>
      </c>
      <c r="L33" s="38">
        <v>15</v>
      </c>
      <c r="M33" s="62" t="s">
        <v>341</v>
      </c>
      <c r="N33" s="63">
        <v>0.1875</v>
      </c>
      <c r="O33" s="63">
        <f t="shared" si="1"/>
        <v>2.8125</v>
      </c>
      <c r="P33" s="38"/>
      <c r="R33" s="75"/>
      <c r="U33" s="75"/>
      <c r="V33" s="76"/>
    </row>
    <row r="34" spans="1:22" ht="30.75" thickBot="1" x14ac:dyDescent="0.3">
      <c r="A34" s="1"/>
      <c r="B34" s="50">
        <f>ROW(B34) - ROW($B$9)</f>
        <v>25</v>
      </c>
      <c r="C34" s="55" t="s">
        <v>309</v>
      </c>
      <c r="D34" s="36" t="s">
        <v>31</v>
      </c>
      <c r="E34" s="37" t="s">
        <v>99</v>
      </c>
      <c r="F34" s="36" t="s">
        <v>155</v>
      </c>
      <c r="G34" s="58" t="s">
        <v>201</v>
      </c>
      <c r="H34" s="36" t="s">
        <v>237</v>
      </c>
      <c r="I34" s="36" t="s">
        <v>327</v>
      </c>
      <c r="J34" s="36" t="s">
        <v>314</v>
      </c>
      <c r="K34" s="36">
        <v>1</v>
      </c>
      <c r="L34" s="36">
        <v>20</v>
      </c>
      <c r="M34" s="60" t="s">
        <v>341</v>
      </c>
      <c r="N34" s="61">
        <v>0.12560000000000002</v>
      </c>
      <c r="O34" s="61">
        <f t="shared" si="1"/>
        <v>2.5120000000000005</v>
      </c>
      <c r="P34" s="36"/>
      <c r="R34" s="75"/>
      <c r="U34" s="75"/>
      <c r="V34" s="76"/>
    </row>
    <row r="35" spans="1:22" ht="36.75" thickBot="1" x14ac:dyDescent="0.3">
      <c r="A35" s="1"/>
      <c r="B35" s="50">
        <f t="shared" si="0"/>
        <v>26</v>
      </c>
      <c r="C35" s="56" t="s">
        <v>308</v>
      </c>
      <c r="D35" s="38" t="s">
        <v>32</v>
      </c>
      <c r="E35" s="39" t="s">
        <v>100</v>
      </c>
      <c r="F35" s="38" t="s">
        <v>304</v>
      </c>
      <c r="G35" s="38" t="s">
        <v>156</v>
      </c>
      <c r="H35" s="38" t="s">
        <v>238</v>
      </c>
      <c r="I35" s="38" t="s">
        <v>314</v>
      </c>
      <c r="J35" s="38" t="s">
        <v>314</v>
      </c>
      <c r="K35" s="38">
        <v>1</v>
      </c>
      <c r="L35" s="38">
        <v>11</v>
      </c>
      <c r="M35" s="62" t="s">
        <v>341</v>
      </c>
      <c r="N35" s="63">
        <v>0.76449999999999996</v>
      </c>
      <c r="O35" s="63">
        <f t="shared" si="1"/>
        <v>8.4094999999999995</v>
      </c>
      <c r="P35" s="38"/>
      <c r="R35" s="75"/>
      <c r="U35" s="75"/>
      <c r="V35" s="76"/>
    </row>
    <row r="36" spans="1:22" ht="36.75" thickBot="1" x14ac:dyDescent="0.3">
      <c r="A36" s="1"/>
      <c r="B36" s="50">
        <f>ROW(B36) - ROW($B$9)</f>
        <v>27</v>
      </c>
      <c r="C36" s="55" t="s">
        <v>310</v>
      </c>
      <c r="D36" s="36" t="s">
        <v>33</v>
      </c>
      <c r="E36" s="37" t="s">
        <v>101</v>
      </c>
      <c r="F36" s="36" t="s">
        <v>304</v>
      </c>
      <c r="G36" s="36" t="s">
        <v>157</v>
      </c>
      <c r="H36" s="36" t="s">
        <v>230</v>
      </c>
      <c r="I36" s="36" t="s">
        <v>314</v>
      </c>
      <c r="J36" s="36" t="s">
        <v>277</v>
      </c>
      <c r="K36" s="36">
        <v>1</v>
      </c>
      <c r="L36" s="36">
        <v>12</v>
      </c>
      <c r="M36" s="60" t="s">
        <v>341</v>
      </c>
      <c r="N36" s="61">
        <v>0.5252</v>
      </c>
      <c r="O36" s="61">
        <f t="shared" si="1"/>
        <v>6.3024000000000004</v>
      </c>
      <c r="P36" s="36"/>
      <c r="R36" s="75"/>
      <c r="U36" s="75"/>
      <c r="V36" s="76"/>
    </row>
    <row r="37" spans="1:22" ht="36.75" thickBot="1" x14ac:dyDescent="0.3">
      <c r="A37" s="1"/>
      <c r="B37" s="50">
        <f t="shared" si="0"/>
        <v>28</v>
      </c>
      <c r="C37" s="56" t="s">
        <v>310</v>
      </c>
      <c r="D37" s="38" t="s">
        <v>34</v>
      </c>
      <c r="E37" s="39" t="s">
        <v>102</v>
      </c>
      <c r="F37" s="38" t="s">
        <v>304</v>
      </c>
      <c r="G37" s="38" t="s">
        <v>158</v>
      </c>
      <c r="H37" s="38" t="s">
        <v>239</v>
      </c>
      <c r="I37" s="38" t="s">
        <v>314</v>
      </c>
      <c r="J37" s="38" t="s">
        <v>278</v>
      </c>
      <c r="K37" s="38">
        <v>1</v>
      </c>
      <c r="L37" s="38">
        <v>12</v>
      </c>
      <c r="M37" s="62" t="s">
        <v>341</v>
      </c>
      <c r="N37" s="63">
        <v>0.26500000000000001</v>
      </c>
      <c r="O37" s="63">
        <f t="shared" si="1"/>
        <v>3.18</v>
      </c>
      <c r="P37" s="38"/>
      <c r="R37" s="75"/>
      <c r="U37" s="75"/>
      <c r="V37" s="76"/>
    </row>
    <row r="38" spans="1:22" ht="30.75" thickBot="1" x14ac:dyDescent="0.3">
      <c r="A38" s="1"/>
      <c r="B38" s="50">
        <f>ROW(B38) - ROW($B$9)</f>
        <v>29</v>
      </c>
      <c r="C38" s="55" t="s">
        <v>310</v>
      </c>
      <c r="D38" s="36" t="s">
        <v>35</v>
      </c>
      <c r="E38" s="37" t="s">
        <v>103</v>
      </c>
      <c r="F38" s="36" t="s">
        <v>159</v>
      </c>
      <c r="G38" s="36" t="s">
        <v>311</v>
      </c>
      <c r="H38" s="36" t="s">
        <v>332</v>
      </c>
      <c r="I38" s="36" t="s">
        <v>314</v>
      </c>
      <c r="J38" s="36" t="s">
        <v>279</v>
      </c>
      <c r="K38" s="36">
        <v>1</v>
      </c>
      <c r="L38" s="36">
        <v>50</v>
      </c>
      <c r="M38" s="60" t="s">
        <v>341</v>
      </c>
      <c r="N38" s="61">
        <v>0.10970000000000001</v>
      </c>
      <c r="O38" s="61">
        <f t="shared" si="1"/>
        <v>5.4850000000000003</v>
      </c>
      <c r="P38" s="36"/>
      <c r="R38" s="75"/>
      <c r="U38" s="75"/>
      <c r="V38" s="76"/>
    </row>
    <row r="39" spans="1:22" ht="30.75" thickBot="1" x14ac:dyDescent="0.3">
      <c r="A39" s="1"/>
      <c r="B39" s="50">
        <f t="shared" si="0"/>
        <v>30</v>
      </c>
      <c r="C39" s="56" t="s">
        <v>310</v>
      </c>
      <c r="D39" s="38" t="s">
        <v>36</v>
      </c>
      <c r="E39" s="39" t="s">
        <v>104</v>
      </c>
      <c r="F39" s="38" t="s">
        <v>304</v>
      </c>
      <c r="G39" s="38" t="s">
        <v>160</v>
      </c>
      <c r="H39" s="38" t="s">
        <v>240</v>
      </c>
      <c r="I39" s="38" t="s">
        <v>314</v>
      </c>
      <c r="J39" s="38" t="s">
        <v>280</v>
      </c>
      <c r="K39" s="38">
        <v>2</v>
      </c>
      <c r="L39" s="38">
        <v>30</v>
      </c>
      <c r="M39" s="62" t="s">
        <v>341</v>
      </c>
      <c r="N39" s="63">
        <v>0.16450000000000001</v>
      </c>
      <c r="O39" s="63">
        <f t="shared" si="1"/>
        <v>4.9350000000000005</v>
      </c>
      <c r="P39" s="38"/>
      <c r="R39" s="75"/>
      <c r="U39" s="75"/>
      <c r="V39" s="76"/>
    </row>
    <row r="40" spans="1:22" ht="30.75" thickBot="1" x14ac:dyDescent="0.3">
      <c r="A40" s="1"/>
      <c r="B40" s="50">
        <f>ROW(B40) - ROW($B$9)</f>
        <v>31</v>
      </c>
      <c r="C40" s="55" t="s">
        <v>310</v>
      </c>
      <c r="D40" s="36" t="s">
        <v>37</v>
      </c>
      <c r="E40" s="37" t="s">
        <v>105</v>
      </c>
      <c r="F40" s="36" t="s">
        <v>159</v>
      </c>
      <c r="G40" s="36" t="s">
        <v>202</v>
      </c>
      <c r="H40" s="36" t="s">
        <v>241</v>
      </c>
      <c r="I40" s="36" t="s">
        <v>314</v>
      </c>
      <c r="J40" s="36" t="s">
        <v>281</v>
      </c>
      <c r="K40" s="36">
        <v>1</v>
      </c>
      <c r="L40" s="36">
        <v>20</v>
      </c>
      <c r="M40" s="60" t="s">
        <v>341</v>
      </c>
      <c r="N40" s="61">
        <v>0.18590000000000001</v>
      </c>
      <c r="O40" s="61">
        <f t="shared" si="1"/>
        <v>3.718</v>
      </c>
      <c r="P40" s="36"/>
      <c r="R40" s="75"/>
      <c r="U40" s="75"/>
      <c r="V40" s="76"/>
    </row>
    <row r="41" spans="1:22" ht="30.75" thickBot="1" x14ac:dyDescent="0.3">
      <c r="A41" s="1"/>
      <c r="B41" s="50">
        <f t="shared" si="0"/>
        <v>32</v>
      </c>
      <c r="C41" s="56" t="s">
        <v>310</v>
      </c>
      <c r="D41" s="38" t="s">
        <v>38</v>
      </c>
      <c r="E41" s="39" t="s">
        <v>106</v>
      </c>
      <c r="F41" s="38" t="s">
        <v>159</v>
      </c>
      <c r="G41" s="38" t="s">
        <v>203</v>
      </c>
      <c r="H41" s="38" t="s">
        <v>242</v>
      </c>
      <c r="I41" s="38" t="s">
        <v>314</v>
      </c>
      <c r="J41" s="38" t="s">
        <v>314</v>
      </c>
      <c r="K41" s="38">
        <v>1</v>
      </c>
      <c r="L41" s="38">
        <v>50</v>
      </c>
      <c r="M41" s="62" t="s">
        <v>341</v>
      </c>
      <c r="N41" s="63">
        <v>0.1096</v>
      </c>
      <c r="O41" s="63">
        <f t="shared" si="1"/>
        <v>5.48</v>
      </c>
      <c r="P41" s="38"/>
      <c r="R41" s="75"/>
      <c r="U41" s="75"/>
      <c r="V41" s="76"/>
    </row>
    <row r="42" spans="1:22" ht="30.75" thickBot="1" x14ac:dyDescent="0.3">
      <c r="A42" s="1"/>
      <c r="B42" s="50">
        <f>ROW(B42) - ROW($B$9)</f>
        <v>33</v>
      </c>
      <c r="C42" s="67" t="s">
        <v>312</v>
      </c>
      <c r="D42" s="68" t="s">
        <v>39</v>
      </c>
      <c r="E42" s="69" t="s">
        <v>107</v>
      </c>
      <c r="F42" s="68" t="s">
        <v>304</v>
      </c>
      <c r="G42" s="68" t="s">
        <v>161</v>
      </c>
      <c r="H42" s="68" t="s">
        <v>243</v>
      </c>
      <c r="I42" s="68" t="s">
        <v>314</v>
      </c>
      <c r="J42" s="68" t="s">
        <v>314</v>
      </c>
      <c r="K42" s="68">
        <v>4</v>
      </c>
      <c r="L42" s="68">
        <v>80</v>
      </c>
      <c r="M42" s="60" t="s">
        <v>341</v>
      </c>
      <c r="N42" s="73">
        <v>3</v>
      </c>
      <c r="O42" s="73">
        <f t="shared" si="1"/>
        <v>240</v>
      </c>
      <c r="P42" s="36"/>
      <c r="R42" s="75"/>
      <c r="U42" s="75"/>
      <c r="V42" s="76"/>
    </row>
    <row r="43" spans="1:22" ht="30.75" thickBot="1" x14ac:dyDescent="0.3">
      <c r="A43" s="1"/>
      <c r="B43" s="50">
        <f t="shared" si="0"/>
        <v>34</v>
      </c>
      <c r="C43" s="56" t="s">
        <v>309</v>
      </c>
      <c r="D43" s="38" t="s">
        <v>40</v>
      </c>
      <c r="E43" s="39" t="s">
        <v>108</v>
      </c>
      <c r="F43" s="38" t="s">
        <v>162</v>
      </c>
      <c r="G43" s="57">
        <v>61300211121</v>
      </c>
      <c r="H43" s="38" t="s">
        <v>244</v>
      </c>
      <c r="I43" s="38" t="s">
        <v>328</v>
      </c>
      <c r="J43" s="38" t="s">
        <v>314</v>
      </c>
      <c r="K43" s="38">
        <v>4</v>
      </c>
      <c r="L43" s="38">
        <v>50</v>
      </c>
      <c r="M43" s="62" t="s">
        <v>341</v>
      </c>
      <c r="N43" s="63">
        <v>0.114</v>
      </c>
      <c r="O43" s="63">
        <f t="shared" si="1"/>
        <v>5.7</v>
      </c>
      <c r="P43" s="38"/>
      <c r="R43" s="75"/>
      <c r="U43" s="75"/>
      <c r="V43" s="76"/>
    </row>
    <row r="44" spans="1:22" ht="30.75" thickBot="1" x14ac:dyDescent="0.3">
      <c r="A44" s="1"/>
      <c r="B44" s="50">
        <f>ROW(B44) - ROW($B$9)</f>
        <v>35</v>
      </c>
      <c r="C44" s="55" t="s">
        <v>309</v>
      </c>
      <c r="D44" s="36" t="s">
        <v>41</v>
      </c>
      <c r="E44" s="37" t="s">
        <v>109</v>
      </c>
      <c r="F44" s="36" t="s">
        <v>163</v>
      </c>
      <c r="G44" s="58">
        <v>61300611121</v>
      </c>
      <c r="H44" s="36" t="s">
        <v>244</v>
      </c>
      <c r="I44" s="36" t="s">
        <v>329</v>
      </c>
      <c r="J44" s="36" t="s">
        <v>314</v>
      </c>
      <c r="K44" s="36">
        <v>1</v>
      </c>
      <c r="L44" s="36">
        <v>20</v>
      </c>
      <c r="M44" s="60" t="s">
        <v>341</v>
      </c>
      <c r="N44" s="61">
        <v>0.13150000000000001</v>
      </c>
      <c r="O44" s="61">
        <f t="shared" si="1"/>
        <v>2.63</v>
      </c>
      <c r="P44" s="36"/>
      <c r="R44" s="75"/>
      <c r="U44" s="75"/>
      <c r="V44" s="76"/>
    </row>
    <row r="45" spans="1:22" ht="15.75" thickBot="1" x14ac:dyDescent="0.3">
      <c r="A45" s="1"/>
      <c r="B45" s="50">
        <f t="shared" si="0"/>
        <v>36</v>
      </c>
      <c r="C45" s="56" t="s">
        <v>313</v>
      </c>
      <c r="D45" s="38" t="s">
        <v>42</v>
      </c>
      <c r="E45" s="39" t="s">
        <v>110</v>
      </c>
      <c r="F45" s="38" t="s">
        <v>164</v>
      </c>
      <c r="G45" s="38" t="s">
        <v>314</v>
      </c>
      <c r="H45" s="38" t="s">
        <v>314</v>
      </c>
      <c r="I45" s="38" t="s">
        <v>314</v>
      </c>
      <c r="J45" s="38" t="s">
        <v>314</v>
      </c>
      <c r="K45" s="38">
        <v>5</v>
      </c>
      <c r="L45" s="38" t="s">
        <v>314</v>
      </c>
      <c r="M45" s="62" t="s">
        <v>314</v>
      </c>
      <c r="N45" s="63">
        <v>0</v>
      </c>
      <c r="O45" s="63" t="s">
        <v>314</v>
      </c>
      <c r="P45" s="38"/>
      <c r="R45" s="75"/>
      <c r="U45" s="75"/>
      <c r="V45" s="76"/>
    </row>
    <row r="46" spans="1:22" ht="30.75" thickBot="1" x14ac:dyDescent="0.3">
      <c r="A46" s="1"/>
      <c r="B46" s="50">
        <f>ROW(B46) - ROW($B$9)</f>
        <v>37</v>
      </c>
      <c r="C46" s="55" t="s">
        <v>315</v>
      </c>
      <c r="D46" s="36" t="s">
        <v>43</v>
      </c>
      <c r="E46" s="37" t="s">
        <v>111</v>
      </c>
      <c r="F46" s="36" t="s">
        <v>165</v>
      </c>
      <c r="G46" s="36" t="s">
        <v>204</v>
      </c>
      <c r="H46" s="36" t="s">
        <v>224</v>
      </c>
      <c r="I46" s="36" t="s">
        <v>314</v>
      </c>
      <c r="J46" s="36" t="s">
        <v>282</v>
      </c>
      <c r="K46" s="36">
        <v>11</v>
      </c>
      <c r="L46" s="36">
        <v>200</v>
      </c>
      <c r="M46" s="60" t="s">
        <v>341</v>
      </c>
      <c r="N46" s="61">
        <v>0.1017</v>
      </c>
      <c r="O46" s="61">
        <f t="shared" si="1"/>
        <v>20.34</v>
      </c>
      <c r="P46" s="36"/>
      <c r="R46" s="75"/>
      <c r="U46" s="75"/>
      <c r="V46" s="76"/>
    </row>
    <row r="47" spans="1:22" ht="36.75" thickBot="1" x14ac:dyDescent="0.3">
      <c r="A47" s="1"/>
      <c r="B47" s="50">
        <f t="shared" si="0"/>
        <v>38</v>
      </c>
      <c r="C47" s="56" t="s">
        <v>315</v>
      </c>
      <c r="D47" s="38" t="s">
        <v>44</v>
      </c>
      <c r="E47" s="39" t="s">
        <v>112</v>
      </c>
      <c r="F47" s="38" t="s">
        <v>165</v>
      </c>
      <c r="G47" s="38" t="s">
        <v>316</v>
      </c>
      <c r="H47" s="38" t="s">
        <v>245</v>
      </c>
      <c r="I47" s="38" t="s">
        <v>314</v>
      </c>
      <c r="J47" s="38" t="s">
        <v>283</v>
      </c>
      <c r="K47" s="38">
        <v>1</v>
      </c>
      <c r="L47" s="38">
        <v>50</v>
      </c>
      <c r="M47" s="62" t="s">
        <v>341</v>
      </c>
      <c r="N47" s="63">
        <v>0.10410000000000001</v>
      </c>
      <c r="O47" s="63">
        <f t="shared" si="1"/>
        <v>5.205000000000001</v>
      </c>
      <c r="P47" s="38"/>
      <c r="R47" s="75"/>
      <c r="U47" s="75"/>
      <c r="V47" s="76"/>
    </row>
    <row r="48" spans="1:22" ht="30.75" thickBot="1" x14ac:dyDescent="0.3">
      <c r="A48" s="1"/>
      <c r="B48" s="50">
        <f>ROW(B48) - ROW($B$9)</f>
        <v>39</v>
      </c>
      <c r="C48" s="55" t="s">
        <v>315</v>
      </c>
      <c r="D48" s="36" t="s">
        <v>45</v>
      </c>
      <c r="E48" s="37" t="s">
        <v>113</v>
      </c>
      <c r="F48" s="36" t="s">
        <v>165</v>
      </c>
      <c r="G48" s="36" t="s">
        <v>205</v>
      </c>
      <c r="H48" s="36" t="s">
        <v>224</v>
      </c>
      <c r="I48" s="36" t="s">
        <v>314</v>
      </c>
      <c r="J48" s="36" t="s">
        <v>284</v>
      </c>
      <c r="K48" s="36">
        <v>2</v>
      </c>
      <c r="L48" s="36">
        <v>100</v>
      </c>
      <c r="M48" s="60" t="s">
        <v>341</v>
      </c>
      <c r="N48" s="61">
        <v>0.1014</v>
      </c>
      <c r="O48" s="61">
        <f t="shared" si="1"/>
        <v>10.14</v>
      </c>
      <c r="P48" s="36"/>
      <c r="R48" s="75"/>
      <c r="U48" s="75"/>
      <c r="V48" s="76"/>
    </row>
    <row r="49" spans="1:22" ht="30.75" thickBot="1" x14ac:dyDescent="0.3">
      <c r="A49" s="1"/>
      <c r="B49" s="50">
        <f t="shared" si="0"/>
        <v>40</v>
      </c>
      <c r="C49" s="56" t="s">
        <v>315</v>
      </c>
      <c r="D49" s="38" t="s">
        <v>46</v>
      </c>
      <c r="E49" s="39" t="s">
        <v>114</v>
      </c>
      <c r="F49" s="38" t="s">
        <v>165</v>
      </c>
      <c r="G49" s="38" t="s">
        <v>206</v>
      </c>
      <c r="H49" s="38" t="s">
        <v>246</v>
      </c>
      <c r="I49" s="38" t="s">
        <v>314</v>
      </c>
      <c r="J49" s="38" t="s">
        <v>285</v>
      </c>
      <c r="K49" s="38">
        <v>1</v>
      </c>
      <c r="L49" s="38">
        <v>100</v>
      </c>
      <c r="M49" s="62" t="s">
        <v>341</v>
      </c>
      <c r="N49" s="63">
        <v>0.1022</v>
      </c>
      <c r="O49" s="63">
        <f t="shared" si="1"/>
        <v>10.220000000000001</v>
      </c>
      <c r="P49" s="38"/>
      <c r="R49" s="75"/>
      <c r="U49" s="75"/>
      <c r="V49" s="76"/>
    </row>
    <row r="50" spans="1:22" ht="36.75" thickBot="1" x14ac:dyDescent="0.3">
      <c r="A50" s="1"/>
      <c r="B50" s="50">
        <f>ROW(B50) - ROW($B$9)</f>
        <v>41</v>
      </c>
      <c r="C50" s="55" t="s">
        <v>315</v>
      </c>
      <c r="D50" s="36" t="s">
        <v>47</v>
      </c>
      <c r="E50" s="37" t="s">
        <v>115</v>
      </c>
      <c r="F50" s="36" t="s">
        <v>166</v>
      </c>
      <c r="G50" s="36" t="s">
        <v>317</v>
      </c>
      <c r="H50" s="36" t="s">
        <v>247</v>
      </c>
      <c r="I50" s="36" t="s">
        <v>314</v>
      </c>
      <c r="J50" s="36" t="s">
        <v>286</v>
      </c>
      <c r="K50" s="36">
        <v>1</v>
      </c>
      <c r="L50" s="36">
        <v>20</v>
      </c>
      <c r="M50" s="60" t="s">
        <v>341</v>
      </c>
      <c r="N50" s="61">
        <v>0.1255</v>
      </c>
      <c r="O50" s="61">
        <f t="shared" si="1"/>
        <v>2.5099999999999998</v>
      </c>
      <c r="P50" s="36"/>
      <c r="R50" s="75"/>
      <c r="U50" s="75"/>
      <c r="V50" s="76"/>
    </row>
    <row r="51" spans="1:22" ht="30.75" thickBot="1" x14ac:dyDescent="0.3">
      <c r="A51" s="1"/>
      <c r="B51" s="50">
        <f t="shared" si="0"/>
        <v>42</v>
      </c>
      <c r="C51" s="56" t="s">
        <v>315</v>
      </c>
      <c r="D51" s="38" t="s">
        <v>48</v>
      </c>
      <c r="E51" s="39" t="s">
        <v>116</v>
      </c>
      <c r="F51" s="38" t="s">
        <v>165</v>
      </c>
      <c r="G51" s="38" t="s">
        <v>207</v>
      </c>
      <c r="H51" s="38" t="s">
        <v>224</v>
      </c>
      <c r="I51" s="38" t="s">
        <v>314</v>
      </c>
      <c r="J51" s="38" t="s">
        <v>287</v>
      </c>
      <c r="K51" s="38">
        <v>1</v>
      </c>
      <c r="L51" s="38">
        <v>100</v>
      </c>
      <c r="M51" s="62" t="s">
        <v>341</v>
      </c>
      <c r="N51" s="63">
        <v>0.10150000000000001</v>
      </c>
      <c r="O51" s="63">
        <f t="shared" si="1"/>
        <v>10.15</v>
      </c>
      <c r="P51" s="38"/>
      <c r="R51" s="75"/>
      <c r="U51" s="75"/>
      <c r="V51" s="76"/>
    </row>
    <row r="52" spans="1:22" ht="30.75" thickBot="1" x14ac:dyDescent="0.3">
      <c r="A52" s="1"/>
      <c r="B52" s="50">
        <f>ROW(B52) - ROW($B$9)</f>
        <v>43</v>
      </c>
      <c r="C52" s="55" t="s">
        <v>315</v>
      </c>
      <c r="D52" s="36" t="s">
        <v>49</v>
      </c>
      <c r="E52" s="37" t="s">
        <v>117</v>
      </c>
      <c r="F52" s="36" t="s">
        <v>166</v>
      </c>
      <c r="G52" s="36" t="s">
        <v>208</v>
      </c>
      <c r="H52" s="36" t="s">
        <v>224</v>
      </c>
      <c r="I52" s="36" t="s">
        <v>314</v>
      </c>
      <c r="J52" s="36" t="s">
        <v>288</v>
      </c>
      <c r="K52" s="36">
        <v>1</v>
      </c>
      <c r="L52" s="36">
        <v>20</v>
      </c>
      <c r="M52" s="60" t="s">
        <v>341</v>
      </c>
      <c r="N52" s="61">
        <v>0.1376</v>
      </c>
      <c r="O52" s="61">
        <f t="shared" si="1"/>
        <v>2.7519999999999998</v>
      </c>
      <c r="P52" s="36"/>
      <c r="R52" s="75"/>
      <c r="U52" s="75"/>
      <c r="V52" s="76"/>
    </row>
    <row r="53" spans="1:22" ht="30.75" thickBot="1" x14ac:dyDescent="0.3">
      <c r="A53" s="1"/>
      <c r="B53" s="50">
        <f t="shared" si="0"/>
        <v>44</v>
      </c>
      <c r="C53" s="56" t="s">
        <v>315</v>
      </c>
      <c r="D53" s="38" t="s">
        <v>50</v>
      </c>
      <c r="E53" s="39" t="s">
        <v>118</v>
      </c>
      <c r="F53" s="38" t="s">
        <v>165</v>
      </c>
      <c r="G53" s="38" t="s">
        <v>209</v>
      </c>
      <c r="H53" s="38" t="s">
        <v>224</v>
      </c>
      <c r="I53" s="38" t="s">
        <v>314</v>
      </c>
      <c r="J53" s="38" t="s">
        <v>289</v>
      </c>
      <c r="K53" s="38">
        <v>1</v>
      </c>
      <c r="L53" s="38">
        <v>100</v>
      </c>
      <c r="M53" s="62" t="s">
        <v>341</v>
      </c>
      <c r="N53" s="63">
        <v>0.1018</v>
      </c>
      <c r="O53" s="63">
        <f t="shared" si="1"/>
        <v>10.18</v>
      </c>
      <c r="P53" s="38"/>
      <c r="R53" s="75"/>
      <c r="U53" s="75"/>
      <c r="V53" s="76"/>
    </row>
    <row r="54" spans="1:22" ht="30.75" thickBot="1" x14ac:dyDescent="0.3">
      <c r="A54" s="1"/>
      <c r="B54" s="50">
        <f>ROW(B54) - ROW($B$9)</f>
        <v>45</v>
      </c>
      <c r="C54" s="55" t="s">
        <v>315</v>
      </c>
      <c r="D54" s="36" t="s">
        <v>51</v>
      </c>
      <c r="E54" s="37" t="s">
        <v>119</v>
      </c>
      <c r="F54" s="36" t="s">
        <v>165</v>
      </c>
      <c r="G54" s="36" t="s">
        <v>210</v>
      </c>
      <c r="H54" s="36" t="s">
        <v>224</v>
      </c>
      <c r="I54" s="36" t="s">
        <v>314</v>
      </c>
      <c r="J54" s="36" t="s">
        <v>290</v>
      </c>
      <c r="K54" s="36">
        <v>2</v>
      </c>
      <c r="L54" s="36">
        <v>100</v>
      </c>
      <c r="M54" s="60" t="s">
        <v>341</v>
      </c>
      <c r="N54" s="61">
        <v>0.1013</v>
      </c>
      <c r="O54" s="61">
        <f t="shared" si="1"/>
        <v>10.130000000000001</v>
      </c>
      <c r="P54" s="36"/>
      <c r="R54" s="75"/>
      <c r="U54" s="75"/>
      <c r="V54" s="76"/>
    </row>
    <row r="55" spans="1:22" ht="30.75" thickBot="1" x14ac:dyDescent="0.3">
      <c r="A55" s="1"/>
      <c r="B55" s="50">
        <f t="shared" si="0"/>
        <v>46</v>
      </c>
      <c r="C55" s="56" t="s">
        <v>315</v>
      </c>
      <c r="D55" s="38" t="s">
        <v>52</v>
      </c>
      <c r="E55" s="39" t="s">
        <v>120</v>
      </c>
      <c r="F55" s="38" t="s">
        <v>165</v>
      </c>
      <c r="G55" s="38" t="s">
        <v>211</v>
      </c>
      <c r="H55" s="38" t="s">
        <v>224</v>
      </c>
      <c r="I55" s="38" t="s">
        <v>314</v>
      </c>
      <c r="J55" s="38" t="s">
        <v>291</v>
      </c>
      <c r="K55" s="38">
        <v>1</v>
      </c>
      <c r="L55" s="38">
        <v>100</v>
      </c>
      <c r="M55" s="62" t="s">
        <v>341</v>
      </c>
      <c r="N55" s="63">
        <v>0.1013</v>
      </c>
      <c r="O55" s="63">
        <f t="shared" si="1"/>
        <v>10.130000000000001</v>
      </c>
      <c r="P55" s="38"/>
      <c r="R55" s="75"/>
      <c r="U55" s="75"/>
      <c r="V55" s="76"/>
    </row>
    <row r="56" spans="1:22" ht="30.75" thickBot="1" x14ac:dyDescent="0.3">
      <c r="A56" s="1"/>
      <c r="B56" s="50">
        <f>ROW(B56) - ROW($B$9)</f>
        <v>47</v>
      </c>
      <c r="C56" s="55" t="s">
        <v>315</v>
      </c>
      <c r="D56" s="36" t="s">
        <v>53</v>
      </c>
      <c r="E56" s="37" t="s">
        <v>121</v>
      </c>
      <c r="F56" s="36" t="s">
        <v>165</v>
      </c>
      <c r="G56" s="36" t="s">
        <v>318</v>
      </c>
      <c r="H56" s="36" t="s">
        <v>224</v>
      </c>
      <c r="I56" s="36" t="s">
        <v>314</v>
      </c>
      <c r="J56" s="36" t="s">
        <v>292</v>
      </c>
      <c r="K56" s="36">
        <v>1</v>
      </c>
      <c r="L56" s="36">
        <v>100</v>
      </c>
      <c r="M56" s="60" t="s">
        <v>341</v>
      </c>
      <c r="N56" s="61">
        <v>0.1014</v>
      </c>
      <c r="O56" s="61">
        <f t="shared" si="1"/>
        <v>10.14</v>
      </c>
      <c r="P56" s="36"/>
      <c r="R56" s="75"/>
      <c r="U56" s="75"/>
      <c r="V56" s="76"/>
    </row>
    <row r="57" spans="1:22" ht="30.75" thickBot="1" x14ac:dyDescent="0.3">
      <c r="A57" s="1"/>
      <c r="B57" s="50">
        <f t="shared" si="0"/>
        <v>48</v>
      </c>
      <c r="C57" s="56" t="s">
        <v>315</v>
      </c>
      <c r="D57" s="38" t="s">
        <v>345</v>
      </c>
      <c r="E57" s="39" t="s">
        <v>122</v>
      </c>
      <c r="F57" s="38" t="s">
        <v>165</v>
      </c>
      <c r="G57" s="38" t="s">
        <v>212</v>
      </c>
      <c r="H57" s="38" t="s">
        <v>224</v>
      </c>
      <c r="I57" s="38" t="s">
        <v>314</v>
      </c>
      <c r="J57" s="38" t="s">
        <v>293</v>
      </c>
      <c r="K57" s="38">
        <v>2</v>
      </c>
      <c r="L57" s="38">
        <v>40</v>
      </c>
      <c r="M57" s="62" t="s">
        <v>341</v>
      </c>
      <c r="N57" s="63">
        <v>0.13290000000000002</v>
      </c>
      <c r="O57" s="63">
        <f t="shared" si="1"/>
        <v>5.3160000000000007</v>
      </c>
      <c r="P57" s="38"/>
      <c r="R57" s="75"/>
      <c r="U57" s="75"/>
      <c r="V57" s="76"/>
    </row>
    <row r="58" spans="1:22" ht="30.75" thickBot="1" x14ac:dyDescent="0.3">
      <c r="A58" s="1"/>
      <c r="B58" s="50">
        <f>ROW(B58) - ROW($B$9)</f>
        <v>49</v>
      </c>
      <c r="C58" s="55" t="s">
        <v>315</v>
      </c>
      <c r="D58" s="36" t="s">
        <v>54</v>
      </c>
      <c r="E58" s="37" t="s">
        <v>123</v>
      </c>
      <c r="F58" s="36" t="s">
        <v>165</v>
      </c>
      <c r="G58" s="58" t="s">
        <v>213</v>
      </c>
      <c r="H58" s="36" t="s">
        <v>224</v>
      </c>
      <c r="I58" s="36" t="s">
        <v>330</v>
      </c>
      <c r="J58" s="36" t="s">
        <v>294</v>
      </c>
      <c r="K58" s="36">
        <v>4</v>
      </c>
      <c r="L58" s="36">
        <v>50</v>
      </c>
      <c r="M58" s="60" t="s">
        <v>341</v>
      </c>
      <c r="N58" s="61">
        <v>0.1072</v>
      </c>
      <c r="O58" s="61">
        <f t="shared" si="1"/>
        <v>5.36</v>
      </c>
      <c r="P58" s="36"/>
      <c r="R58" s="75"/>
      <c r="U58" s="75"/>
      <c r="V58" s="76"/>
    </row>
    <row r="59" spans="1:22" ht="30.75" thickBot="1" x14ac:dyDescent="0.3">
      <c r="A59" s="1"/>
      <c r="B59" s="50">
        <f t="shared" si="0"/>
        <v>50</v>
      </c>
      <c r="C59" s="56" t="s">
        <v>315</v>
      </c>
      <c r="D59" s="38" t="s">
        <v>55</v>
      </c>
      <c r="E59" s="39" t="s">
        <v>124</v>
      </c>
      <c r="F59" s="38" t="s">
        <v>165</v>
      </c>
      <c r="G59" s="38" t="s">
        <v>214</v>
      </c>
      <c r="H59" s="38" t="s">
        <v>224</v>
      </c>
      <c r="I59" s="38"/>
      <c r="J59" s="38" t="s">
        <v>295</v>
      </c>
      <c r="K59" s="38">
        <v>2</v>
      </c>
      <c r="L59" s="38">
        <v>40</v>
      </c>
      <c r="M59" s="62" t="s">
        <v>341</v>
      </c>
      <c r="N59" s="63">
        <v>0.13550000000000001</v>
      </c>
      <c r="O59" s="63">
        <f t="shared" si="1"/>
        <v>5.42</v>
      </c>
      <c r="P59" s="38"/>
      <c r="R59" s="75"/>
      <c r="U59" s="75"/>
      <c r="V59" s="76"/>
    </row>
    <row r="60" spans="1:22" ht="30.75" thickBot="1" x14ac:dyDescent="0.3">
      <c r="A60" s="1"/>
      <c r="B60" s="50">
        <f>ROW(B60) - ROW($B$9)</f>
        <v>51</v>
      </c>
      <c r="C60" s="55" t="s">
        <v>315</v>
      </c>
      <c r="D60" s="36" t="s">
        <v>56</v>
      </c>
      <c r="E60" s="37" t="s">
        <v>125</v>
      </c>
      <c r="F60" s="36" t="s">
        <v>167</v>
      </c>
      <c r="G60" s="36" t="s">
        <v>215</v>
      </c>
      <c r="H60" s="36" t="s">
        <v>224</v>
      </c>
      <c r="I60" s="36" t="s">
        <v>314</v>
      </c>
      <c r="J60" s="36" t="s">
        <v>296</v>
      </c>
      <c r="K60" s="36">
        <v>1</v>
      </c>
      <c r="L60" s="36">
        <v>20</v>
      </c>
      <c r="M60" s="60" t="s">
        <v>341</v>
      </c>
      <c r="N60" s="61">
        <v>0.1391</v>
      </c>
      <c r="O60" s="61">
        <f t="shared" si="1"/>
        <v>2.782</v>
      </c>
      <c r="P60" s="36"/>
      <c r="R60" s="75"/>
      <c r="U60" s="75"/>
      <c r="V60" s="76"/>
    </row>
    <row r="61" spans="1:22" ht="30.75" thickBot="1" x14ac:dyDescent="0.3">
      <c r="A61" s="1"/>
      <c r="B61" s="50">
        <f t="shared" si="0"/>
        <v>52</v>
      </c>
      <c r="C61" s="56" t="s">
        <v>315</v>
      </c>
      <c r="D61" s="38" t="s">
        <v>57</v>
      </c>
      <c r="E61" s="39" t="s">
        <v>126</v>
      </c>
      <c r="F61" s="38" t="s">
        <v>165</v>
      </c>
      <c r="G61" s="38" t="s">
        <v>216</v>
      </c>
      <c r="H61" s="38" t="s">
        <v>224</v>
      </c>
      <c r="I61" s="38"/>
      <c r="J61" s="38" t="s">
        <v>297</v>
      </c>
      <c r="K61" s="38">
        <v>1</v>
      </c>
      <c r="L61" s="38">
        <v>50</v>
      </c>
      <c r="M61" s="62" t="s">
        <v>341</v>
      </c>
      <c r="N61" s="63">
        <v>0.11430000000000001</v>
      </c>
      <c r="O61" s="63">
        <f t="shared" si="1"/>
        <v>5.7150000000000007</v>
      </c>
      <c r="P61" s="38"/>
      <c r="R61" s="75"/>
      <c r="U61" s="75"/>
      <c r="V61" s="76"/>
    </row>
    <row r="62" spans="1:22" ht="30.75" thickBot="1" x14ac:dyDescent="0.3">
      <c r="A62" s="1"/>
      <c r="B62" s="50">
        <f>ROW(B62) - ROW($B$9)</f>
        <v>53</v>
      </c>
      <c r="C62" s="55" t="s">
        <v>315</v>
      </c>
      <c r="D62" s="36" t="s">
        <v>58</v>
      </c>
      <c r="E62" s="37" t="s">
        <v>127</v>
      </c>
      <c r="F62" s="36" t="s">
        <v>165</v>
      </c>
      <c r="G62" s="36" t="s">
        <v>217</v>
      </c>
      <c r="H62" s="36" t="s">
        <v>224</v>
      </c>
      <c r="I62" s="36"/>
      <c r="J62" s="36" t="s">
        <v>298</v>
      </c>
      <c r="K62" s="36">
        <v>2</v>
      </c>
      <c r="L62" s="36">
        <v>100</v>
      </c>
      <c r="M62" s="60" t="s">
        <v>341</v>
      </c>
      <c r="N62" s="61">
        <v>0.10100000000000001</v>
      </c>
      <c r="O62" s="61">
        <f t="shared" si="1"/>
        <v>10.100000000000001</v>
      </c>
      <c r="P62" s="36"/>
      <c r="R62" s="75"/>
      <c r="U62" s="75"/>
      <c r="V62" s="76"/>
    </row>
    <row r="63" spans="1:22" ht="15.75" thickBot="1" x14ac:dyDescent="0.3">
      <c r="A63" s="1"/>
      <c r="B63" s="50">
        <f t="shared" si="0"/>
        <v>54</v>
      </c>
      <c r="C63" s="56" t="s">
        <v>168</v>
      </c>
      <c r="D63" s="38" t="s">
        <v>59</v>
      </c>
      <c r="E63" s="39" t="s">
        <v>128</v>
      </c>
      <c r="F63" s="38" t="s">
        <v>168</v>
      </c>
      <c r="G63" s="38" t="s">
        <v>314</v>
      </c>
      <c r="H63" s="38" t="s">
        <v>314</v>
      </c>
      <c r="I63" s="38" t="s">
        <v>314</v>
      </c>
      <c r="J63" s="38" t="s">
        <v>314</v>
      </c>
      <c r="K63" s="38">
        <v>9</v>
      </c>
      <c r="L63" s="38" t="s">
        <v>314</v>
      </c>
      <c r="M63" s="62" t="s">
        <v>314</v>
      </c>
      <c r="N63" s="63">
        <v>0</v>
      </c>
      <c r="O63" s="63" t="s">
        <v>314</v>
      </c>
      <c r="P63" s="38"/>
      <c r="R63" s="75"/>
      <c r="U63" s="75"/>
      <c r="V63" s="76"/>
    </row>
    <row r="64" spans="1:22" ht="36.75" thickBot="1" x14ac:dyDescent="0.3">
      <c r="A64" s="1"/>
      <c r="B64" s="50">
        <f>ROW(B64) - ROW($B$9)</f>
        <v>55</v>
      </c>
      <c r="C64" s="55" t="s">
        <v>319</v>
      </c>
      <c r="D64" s="36" t="s">
        <v>60</v>
      </c>
      <c r="E64" s="37" t="s">
        <v>129</v>
      </c>
      <c r="F64" s="36" t="s">
        <v>304</v>
      </c>
      <c r="G64" s="36" t="s">
        <v>169</v>
      </c>
      <c r="H64" s="36" t="s">
        <v>248</v>
      </c>
      <c r="I64" s="36" t="s">
        <v>314</v>
      </c>
      <c r="J64" s="36" t="s">
        <v>314</v>
      </c>
      <c r="K64" s="36">
        <v>1</v>
      </c>
      <c r="L64" s="36">
        <v>20</v>
      </c>
      <c r="M64" s="60" t="s">
        <v>341</v>
      </c>
      <c r="N64" s="61">
        <v>0.16189999999999999</v>
      </c>
      <c r="O64" s="61">
        <f t="shared" si="1"/>
        <v>3.2379999999999995</v>
      </c>
      <c r="P64" s="36"/>
      <c r="R64" s="75"/>
      <c r="U64" s="75"/>
      <c r="V64" s="76"/>
    </row>
    <row r="65" spans="1:22" ht="30.75" thickBot="1" x14ac:dyDescent="0.3">
      <c r="A65" s="1"/>
      <c r="B65" s="50">
        <f t="shared" si="0"/>
        <v>56</v>
      </c>
      <c r="C65" s="56" t="s">
        <v>320</v>
      </c>
      <c r="D65" s="38" t="s">
        <v>61</v>
      </c>
      <c r="E65" s="39" t="s">
        <v>130</v>
      </c>
      <c r="F65" s="38" t="s">
        <v>170</v>
      </c>
      <c r="G65" s="38" t="s">
        <v>218</v>
      </c>
      <c r="H65" s="38" t="s">
        <v>249</v>
      </c>
      <c r="I65" s="38" t="s">
        <v>314</v>
      </c>
      <c r="J65" s="38" t="s">
        <v>314</v>
      </c>
      <c r="K65" s="38">
        <v>1</v>
      </c>
      <c r="L65" s="38">
        <v>11</v>
      </c>
      <c r="M65" s="62" t="s">
        <v>341</v>
      </c>
      <c r="N65" s="63">
        <v>2.0760999999999998</v>
      </c>
      <c r="O65" s="63">
        <f t="shared" si="1"/>
        <v>22.8371</v>
      </c>
      <c r="P65" s="38"/>
      <c r="R65" s="75"/>
      <c r="U65" s="75"/>
      <c r="V65" s="76"/>
    </row>
    <row r="66" spans="1:22" ht="30.75" thickBot="1" x14ac:dyDescent="0.3">
      <c r="A66" s="1"/>
      <c r="B66" s="50">
        <f>ROW(B66) - ROW($B$9)</f>
        <v>57</v>
      </c>
      <c r="C66" s="55" t="s">
        <v>320</v>
      </c>
      <c r="D66" s="36" t="s">
        <v>62</v>
      </c>
      <c r="E66" s="37" t="s">
        <v>131</v>
      </c>
      <c r="F66" s="36" t="s">
        <v>171</v>
      </c>
      <c r="G66" s="36" t="s">
        <v>219</v>
      </c>
      <c r="H66" s="36" t="s">
        <v>250</v>
      </c>
      <c r="I66" s="36" t="s">
        <v>314</v>
      </c>
      <c r="J66" s="36" t="s">
        <v>314</v>
      </c>
      <c r="K66" s="36">
        <v>1</v>
      </c>
      <c r="L66" s="36">
        <v>11</v>
      </c>
      <c r="M66" s="60" t="s">
        <v>341</v>
      </c>
      <c r="N66" s="61">
        <v>0.52690000000000003</v>
      </c>
      <c r="O66" s="61">
        <f t="shared" si="1"/>
        <v>5.7959000000000005</v>
      </c>
      <c r="P66" s="36"/>
      <c r="R66" s="75"/>
      <c r="U66" s="75"/>
      <c r="V66" s="76"/>
    </row>
    <row r="67" spans="1:22" ht="30.75" thickBot="1" x14ac:dyDescent="0.3">
      <c r="A67" s="1"/>
      <c r="B67" s="50">
        <f t="shared" si="0"/>
        <v>58</v>
      </c>
      <c r="C67" s="56" t="s">
        <v>320</v>
      </c>
      <c r="D67" s="38" t="s">
        <v>63</v>
      </c>
      <c r="E67" s="39" t="s">
        <v>132</v>
      </c>
      <c r="F67" s="38" t="s">
        <v>321</v>
      </c>
      <c r="G67" s="38" t="s">
        <v>172</v>
      </c>
      <c r="H67" s="38" t="s">
        <v>250</v>
      </c>
      <c r="I67" s="38" t="s">
        <v>314</v>
      </c>
      <c r="J67" s="38" t="s">
        <v>314</v>
      </c>
      <c r="K67" s="38">
        <v>1</v>
      </c>
      <c r="L67" s="38">
        <v>11</v>
      </c>
      <c r="M67" s="62" t="s">
        <v>341</v>
      </c>
      <c r="N67" s="63">
        <v>0.54239999999999999</v>
      </c>
      <c r="O67" s="63">
        <f t="shared" si="1"/>
        <v>5.9664000000000001</v>
      </c>
      <c r="P67" s="38"/>
      <c r="R67" s="75"/>
      <c r="U67" s="75"/>
      <c r="V67" s="76"/>
    </row>
    <row r="68" spans="1:22" ht="30.75" thickBot="1" x14ac:dyDescent="0.3">
      <c r="A68" s="1"/>
      <c r="B68" s="50">
        <f>ROW(B68) - ROW($B$9)</f>
        <v>59</v>
      </c>
      <c r="C68" s="55" t="s">
        <v>320</v>
      </c>
      <c r="D68" s="36" t="s">
        <v>64</v>
      </c>
      <c r="E68" s="37" t="s">
        <v>133</v>
      </c>
      <c r="F68" s="36" t="s">
        <v>304</v>
      </c>
      <c r="G68" s="36" t="s">
        <v>173</v>
      </c>
      <c r="H68" s="36" t="s">
        <v>251</v>
      </c>
      <c r="I68" s="36" t="s">
        <v>314</v>
      </c>
      <c r="J68" s="36" t="s">
        <v>314</v>
      </c>
      <c r="K68" s="36">
        <v>1</v>
      </c>
      <c r="L68" s="36">
        <v>11</v>
      </c>
      <c r="M68" s="60" t="s">
        <v>341</v>
      </c>
      <c r="N68" s="61">
        <v>1.7232000000000001</v>
      </c>
      <c r="O68" s="61">
        <f t="shared" si="1"/>
        <v>18.955200000000001</v>
      </c>
      <c r="P68" s="36"/>
      <c r="R68" s="75"/>
      <c r="U68" s="75"/>
      <c r="V68" s="76"/>
    </row>
    <row r="69" spans="1:22" ht="36.75" thickBot="1" x14ac:dyDescent="0.3">
      <c r="A69" s="1"/>
      <c r="B69" s="50">
        <f t="shared" si="0"/>
        <v>60</v>
      </c>
      <c r="C69" s="56" t="s">
        <v>320</v>
      </c>
      <c r="D69" s="38" t="s">
        <v>65</v>
      </c>
      <c r="E69" s="39" t="s">
        <v>134</v>
      </c>
      <c r="F69" s="38" t="s">
        <v>170</v>
      </c>
      <c r="G69" s="38" t="s">
        <v>174</v>
      </c>
      <c r="H69" s="38" t="s">
        <v>252</v>
      </c>
      <c r="I69" s="38" t="s">
        <v>314</v>
      </c>
      <c r="J69" s="38" t="s">
        <v>314</v>
      </c>
      <c r="K69" s="38">
        <v>1</v>
      </c>
      <c r="L69" s="38">
        <v>20</v>
      </c>
      <c r="M69" s="62" t="s">
        <v>341</v>
      </c>
      <c r="N69" s="63">
        <v>0.15640000000000001</v>
      </c>
      <c r="O69" s="63">
        <f t="shared" si="1"/>
        <v>3.1280000000000001</v>
      </c>
      <c r="P69" s="38"/>
      <c r="R69" s="75"/>
      <c r="U69" s="75"/>
      <c r="V69" s="76"/>
    </row>
    <row r="70" spans="1:22" ht="30.75" thickBot="1" x14ac:dyDescent="0.3">
      <c r="A70" s="1"/>
      <c r="B70" s="50">
        <f>ROW(B70) - ROW($B$9)</f>
        <v>61</v>
      </c>
      <c r="C70" s="55" t="s">
        <v>320</v>
      </c>
      <c r="D70" s="36" t="s">
        <v>66</v>
      </c>
      <c r="E70" s="37" t="s">
        <v>135</v>
      </c>
      <c r="F70" s="36" t="s">
        <v>322</v>
      </c>
      <c r="G70" s="36" t="s">
        <v>175</v>
      </c>
      <c r="H70" s="36" t="s">
        <v>250</v>
      </c>
      <c r="I70" s="36" t="s">
        <v>314</v>
      </c>
      <c r="J70" s="36" t="s">
        <v>314</v>
      </c>
      <c r="K70" s="36">
        <v>1</v>
      </c>
      <c r="L70" s="36">
        <v>11</v>
      </c>
      <c r="M70" s="60" t="s">
        <v>341</v>
      </c>
      <c r="N70" s="61">
        <v>4.0366999999999997</v>
      </c>
      <c r="O70" s="61">
        <f t="shared" si="1"/>
        <v>44.403700000000001</v>
      </c>
      <c r="P70" s="36"/>
      <c r="R70" s="75"/>
      <c r="U70" s="75"/>
      <c r="V70" s="76"/>
    </row>
    <row r="71" spans="1:22" ht="30.75" thickBot="1" x14ac:dyDescent="0.3">
      <c r="A71" s="1"/>
      <c r="B71" s="50">
        <f t="shared" si="0"/>
        <v>62</v>
      </c>
      <c r="C71" s="56" t="s">
        <v>320</v>
      </c>
      <c r="D71" s="38" t="s">
        <v>67</v>
      </c>
      <c r="E71" s="39" t="s">
        <v>136</v>
      </c>
      <c r="F71" s="38" t="s">
        <v>176</v>
      </c>
      <c r="G71" s="38" t="s">
        <v>220</v>
      </c>
      <c r="H71" s="38" t="s">
        <v>253</v>
      </c>
      <c r="I71" s="38" t="s">
        <v>314</v>
      </c>
      <c r="J71" s="38" t="s">
        <v>314</v>
      </c>
      <c r="K71" s="38">
        <v>1</v>
      </c>
      <c r="L71" s="38">
        <v>11</v>
      </c>
      <c r="M71" s="62" t="s">
        <v>341</v>
      </c>
      <c r="N71" s="63">
        <v>1.0433000000000001</v>
      </c>
      <c r="O71" s="63">
        <f t="shared" si="1"/>
        <v>11.476300000000002</v>
      </c>
      <c r="P71" s="38"/>
      <c r="R71" s="75"/>
      <c r="U71" s="75"/>
      <c r="V71" s="76"/>
    </row>
    <row r="72" spans="1:22" ht="30.75" thickBot="1" x14ac:dyDescent="0.3">
      <c r="A72" s="1"/>
      <c r="B72" s="50">
        <f>ROW(B72) - ROW($B$9)</f>
        <v>63</v>
      </c>
      <c r="C72" s="55" t="s">
        <v>320</v>
      </c>
      <c r="D72" s="36" t="s">
        <v>68</v>
      </c>
      <c r="E72" s="37" t="s">
        <v>137</v>
      </c>
      <c r="F72" s="36" t="s">
        <v>177</v>
      </c>
      <c r="G72" s="36" t="s">
        <v>221</v>
      </c>
      <c r="H72" s="36" t="s">
        <v>250</v>
      </c>
      <c r="I72" s="36" t="s">
        <v>314</v>
      </c>
      <c r="J72" s="36" t="s">
        <v>314</v>
      </c>
      <c r="K72" s="36">
        <v>1</v>
      </c>
      <c r="L72" s="36">
        <v>11</v>
      </c>
      <c r="M72" s="60" t="s">
        <v>341</v>
      </c>
      <c r="N72" s="61">
        <v>0.82819999999999994</v>
      </c>
      <c r="O72" s="61">
        <f t="shared" si="1"/>
        <v>9.110199999999999</v>
      </c>
      <c r="P72" s="36"/>
      <c r="R72" s="75"/>
      <c r="U72" s="75"/>
      <c r="V72" s="76"/>
    </row>
    <row r="73" spans="1:22" ht="30.75" thickBot="1" x14ac:dyDescent="0.3">
      <c r="A73" s="1"/>
      <c r="B73" s="50">
        <f t="shared" si="0"/>
        <v>64</v>
      </c>
      <c r="C73" s="56" t="s">
        <v>320</v>
      </c>
      <c r="D73" s="38" t="s">
        <v>69</v>
      </c>
      <c r="E73" s="39" t="s">
        <v>138</v>
      </c>
      <c r="F73" s="38" t="s">
        <v>178</v>
      </c>
      <c r="G73" s="38" t="s">
        <v>222</v>
      </c>
      <c r="H73" s="38" t="s">
        <v>250</v>
      </c>
      <c r="I73" s="38" t="s">
        <v>314</v>
      </c>
      <c r="J73" s="38" t="s">
        <v>314</v>
      </c>
      <c r="K73" s="38">
        <v>1</v>
      </c>
      <c r="L73" s="38">
        <v>11</v>
      </c>
      <c r="M73" s="62" t="s">
        <v>341</v>
      </c>
      <c r="N73" s="63">
        <v>1.4220000000000002</v>
      </c>
      <c r="O73" s="63">
        <f t="shared" si="1"/>
        <v>15.642000000000001</v>
      </c>
      <c r="P73" s="38"/>
      <c r="R73" s="75"/>
      <c r="U73" s="75"/>
      <c r="V73" s="76"/>
    </row>
    <row r="74" spans="1:22" ht="30.75" thickBot="1" x14ac:dyDescent="0.3">
      <c r="A74" s="1"/>
      <c r="B74" s="50">
        <f>ROW(B74) - ROW($B$9)</f>
        <v>65</v>
      </c>
      <c r="C74" s="67" t="s">
        <v>320</v>
      </c>
      <c r="D74" s="68" t="s">
        <v>70</v>
      </c>
      <c r="E74" s="69" t="s">
        <v>139</v>
      </c>
      <c r="F74" s="68" t="s">
        <v>304</v>
      </c>
      <c r="G74" s="68" t="s">
        <v>179</v>
      </c>
      <c r="H74" s="68" t="s">
        <v>254</v>
      </c>
      <c r="I74" s="59"/>
      <c r="J74" s="68" t="s">
        <v>314</v>
      </c>
      <c r="K74" s="68">
        <v>1</v>
      </c>
      <c r="L74" s="68">
        <v>11</v>
      </c>
      <c r="M74" s="60" t="s">
        <v>341</v>
      </c>
      <c r="N74" s="73">
        <v>1.26</v>
      </c>
      <c r="O74" s="73">
        <f t="shared" si="1"/>
        <v>13.86</v>
      </c>
      <c r="P74" s="36"/>
      <c r="R74" s="75"/>
      <c r="U74" s="75"/>
      <c r="V74" s="76"/>
    </row>
    <row r="75" spans="1:22" ht="30.75" thickBot="1" x14ac:dyDescent="0.3">
      <c r="A75" s="1"/>
      <c r="B75" s="50">
        <f t="shared" si="0"/>
        <v>66</v>
      </c>
      <c r="C75" s="70" t="s">
        <v>320</v>
      </c>
      <c r="D75" s="71" t="s">
        <v>71</v>
      </c>
      <c r="E75" s="72" t="s">
        <v>140</v>
      </c>
      <c r="F75" s="71" t="s">
        <v>171</v>
      </c>
      <c r="G75" s="57">
        <v>4677</v>
      </c>
      <c r="H75" s="71" t="s">
        <v>255</v>
      </c>
      <c r="I75" s="38" t="s">
        <v>340</v>
      </c>
      <c r="J75" s="71" t="s">
        <v>314</v>
      </c>
      <c r="K75" s="71">
        <v>1</v>
      </c>
      <c r="L75" s="71">
        <v>11</v>
      </c>
      <c r="M75" s="62" t="s">
        <v>341</v>
      </c>
      <c r="N75" s="74">
        <v>2.8662000000000001</v>
      </c>
      <c r="O75" s="74">
        <f t="shared" ref="O75:O77" si="2">N75*L75</f>
        <v>31.528200000000002</v>
      </c>
      <c r="P75" s="38"/>
      <c r="R75" s="75"/>
      <c r="U75" s="75"/>
      <c r="V75" s="76"/>
    </row>
    <row r="76" spans="1:22" ht="36.75" thickBot="1" x14ac:dyDescent="0.3">
      <c r="A76" s="1"/>
      <c r="B76" s="50">
        <f>ROW(B76) - ROW($B$9)</f>
        <v>67</v>
      </c>
      <c r="C76" s="55" t="s">
        <v>323</v>
      </c>
      <c r="D76" s="36" t="s">
        <v>72</v>
      </c>
      <c r="E76" s="37" t="s">
        <v>141</v>
      </c>
      <c r="F76" s="36" t="s">
        <v>304</v>
      </c>
      <c r="G76" s="36" t="s">
        <v>180</v>
      </c>
      <c r="H76" s="36" t="s">
        <v>256</v>
      </c>
      <c r="I76" s="36" t="s">
        <v>314</v>
      </c>
      <c r="J76" s="36" t="s">
        <v>299</v>
      </c>
      <c r="K76" s="36">
        <v>1</v>
      </c>
      <c r="L76" s="36">
        <v>15</v>
      </c>
      <c r="M76" s="60" t="s">
        <v>341</v>
      </c>
      <c r="N76" s="61">
        <v>0.19</v>
      </c>
      <c r="O76" s="61">
        <f t="shared" si="2"/>
        <v>2.85</v>
      </c>
      <c r="P76" s="36"/>
      <c r="R76" s="75"/>
      <c r="U76" s="75"/>
      <c r="V76" s="76"/>
    </row>
    <row r="77" spans="1:22" ht="36.75" thickBot="1" x14ac:dyDescent="0.3">
      <c r="A77" s="1"/>
      <c r="B77" s="50">
        <f t="shared" si="0"/>
        <v>68</v>
      </c>
      <c r="C77" s="56" t="s">
        <v>323</v>
      </c>
      <c r="D77" s="38" t="s">
        <v>73</v>
      </c>
      <c r="E77" s="39" t="s">
        <v>142</v>
      </c>
      <c r="F77" s="38" t="s">
        <v>304</v>
      </c>
      <c r="G77" s="38" t="s">
        <v>181</v>
      </c>
      <c r="H77" s="38" t="s">
        <v>257</v>
      </c>
      <c r="I77" s="38" t="s">
        <v>314</v>
      </c>
      <c r="J77" s="38" t="s">
        <v>300</v>
      </c>
      <c r="K77" s="66">
        <v>1</v>
      </c>
      <c r="L77" s="38">
        <v>15</v>
      </c>
      <c r="M77" s="62" t="s">
        <v>341</v>
      </c>
      <c r="N77" s="63">
        <v>0.16510000000000002</v>
      </c>
      <c r="O77" s="63">
        <f t="shared" si="2"/>
        <v>2.4765000000000006</v>
      </c>
      <c r="P77" s="38"/>
      <c r="R77" s="75"/>
      <c r="U77" s="75"/>
      <c r="V77" s="76"/>
    </row>
    <row r="78" spans="1:22" ht="19.5" thickBot="1" x14ac:dyDescent="0.3">
      <c r="A78" s="1"/>
      <c r="B78" s="31"/>
      <c r="C78" s="48"/>
      <c r="D78" s="32"/>
      <c r="E78" s="33"/>
      <c r="F78" s="34"/>
      <c r="G78" s="35"/>
      <c r="H78" s="35"/>
      <c r="I78" s="34"/>
      <c r="J78" s="35"/>
      <c r="K78" s="35"/>
      <c r="L78" s="80" t="s">
        <v>338</v>
      </c>
      <c r="M78" s="81"/>
      <c r="N78" s="81"/>
      <c r="O78" s="64">
        <f>SUM(O10:O77)</f>
        <v>839.02409999999998</v>
      </c>
      <c r="P78" s="41"/>
      <c r="U78" s="75"/>
      <c r="V78" s="75"/>
    </row>
    <row r="79" spans="1:22" ht="19.5" thickBot="1" x14ac:dyDescent="0.3">
      <c r="A79" s="1"/>
      <c r="B79" s="24"/>
      <c r="C79" s="49"/>
      <c r="D79" s="8"/>
      <c r="E79" s="9"/>
      <c r="F79" s="9"/>
      <c r="G79" s="9"/>
      <c r="H79" s="9"/>
      <c r="I79" s="9"/>
      <c r="J79" s="9"/>
      <c r="K79" s="9"/>
      <c r="L79" s="80" t="s">
        <v>339</v>
      </c>
      <c r="M79" s="81"/>
      <c r="N79" s="81"/>
      <c r="O79" s="65">
        <f>O78/10</f>
        <v>83.902410000000003</v>
      </c>
      <c r="P79" s="42"/>
    </row>
    <row r="84" spans="14:14" x14ac:dyDescent="0.25">
      <c r="N84" s="75"/>
    </row>
  </sheetData>
  <mergeCells count="4">
    <mergeCell ref="J1:P1"/>
    <mergeCell ref="P3:P8"/>
    <mergeCell ref="L78:N78"/>
    <mergeCell ref="L79:N7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2022-10-18T07:52:26Z</dcterms:modified>
</cp:coreProperties>
</file>